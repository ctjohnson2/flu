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.johnson\Documents\GitHub\flu\data\"/>
    </mc:Choice>
  </mc:AlternateContent>
  <xr:revisionPtr revIDLastSave="0" documentId="13_ncr:1_{B1CC6A04-718B-46C6-BF12-ECFA6239C250}" xr6:coauthVersionLast="47" xr6:coauthVersionMax="47" xr10:uidLastSave="{00000000-0000-0000-0000-000000000000}"/>
  <bookViews>
    <workbookView xWindow="1152" yWindow="588" windowWidth="21600" windowHeight="11388" xr2:uid="{11A36013-8756-48B6-B10C-B88575A86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L29" i="1"/>
  <c r="M29" i="1"/>
  <c r="J29" i="1"/>
  <c r="K28" i="1"/>
  <c r="L28" i="1"/>
  <c r="M28" i="1"/>
  <c r="J28" i="1"/>
  <c r="K15" i="1"/>
  <c r="L15" i="1"/>
  <c r="M15" i="1"/>
  <c r="J15" i="1"/>
  <c r="K14" i="1"/>
  <c r="L14" i="1"/>
  <c r="M14" i="1"/>
  <c r="J14" i="1"/>
  <c r="M19" i="1"/>
  <c r="M20" i="1"/>
  <c r="M21" i="1"/>
  <c r="M22" i="1"/>
  <c r="M23" i="1"/>
  <c r="M24" i="1"/>
  <c r="M25" i="1"/>
  <c r="M26" i="1"/>
  <c r="M27" i="1"/>
  <c r="M18" i="1"/>
  <c r="J19" i="1"/>
  <c r="J20" i="1"/>
  <c r="J21" i="1"/>
  <c r="J22" i="1"/>
  <c r="J23" i="1"/>
  <c r="J24" i="1"/>
  <c r="J25" i="1"/>
  <c r="J26" i="1"/>
  <c r="J27" i="1"/>
  <c r="J18" i="1"/>
  <c r="G5" i="1"/>
  <c r="G6" i="1"/>
  <c r="G7" i="1"/>
  <c r="G8" i="1"/>
  <c r="G9" i="1"/>
  <c r="G10" i="1"/>
  <c r="G11" i="1"/>
  <c r="G12" i="1"/>
  <c r="G13" i="1"/>
  <c r="G4" i="1"/>
  <c r="J5" i="1" l="1"/>
  <c r="J6" i="1"/>
  <c r="J7" i="1"/>
  <c r="J8" i="1"/>
  <c r="J9" i="1"/>
  <c r="J10" i="1"/>
  <c r="J11" i="1"/>
  <c r="J12" i="1"/>
  <c r="J13" i="1"/>
  <c r="J4" i="1"/>
</calcChain>
</file>

<file path=xl/sharedStrings.xml><?xml version="1.0" encoding="utf-8"?>
<sst xmlns="http://schemas.openxmlformats.org/spreadsheetml/2006/main" count="66" uniqueCount="32">
  <si>
    <t>Max</t>
  </si>
  <si>
    <t>Width</t>
  </si>
  <si>
    <t>Loc</t>
  </si>
  <si>
    <t>max_loc_adj</t>
  </si>
  <si>
    <t>WidthAdj</t>
  </si>
  <si>
    <t>rnn</t>
  </si>
  <si>
    <t>rnn_lin1</t>
  </si>
  <si>
    <t>gru1</t>
  </si>
  <si>
    <t>gru_lin1</t>
  </si>
  <si>
    <t>lstm</t>
  </si>
  <si>
    <t>lstm1</t>
  </si>
  <si>
    <t>lstm_lin1</t>
  </si>
  <si>
    <t>lstm_comb</t>
  </si>
  <si>
    <t>rnn_comb</t>
  </si>
  <si>
    <t>gru_comb</t>
  </si>
  <si>
    <t>Model</t>
  </si>
  <si>
    <t>Max Week</t>
  </si>
  <si>
    <t>Half-Width (Weeks)</t>
  </si>
  <si>
    <t>Max Rate (Cases)</t>
  </si>
  <si>
    <t>Half-Width Adj (Weeks)</t>
  </si>
  <si>
    <t>LSTM2Lin1</t>
  </si>
  <si>
    <t>LSTM1Lin1</t>
  </si>
  <si>
    <t>GRU1Lin1</t>
  </si>
  <si>
    <t>RNN2Lin2</t>
  </si>
  <si>
    <t>GRU2Lin2</t>
  </si>
  <si>
    <t>LSTM2Lin2</t>
  </si>
  <si>
    <t>LSTM1Lin2</t>
  </si>
  <si>
    <t>RNN1Lin2</t>
  </si>
  <si>
    <t>GRU1Lin2</t>
  </si>
  <si>
    <t>RNN2Lin1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</si>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</sst>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2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172" fontId="3" fillId="0" borderId="0" xfId="1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172" fontId="3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172" fontId="0" fillId="0" borderId="0" xfId="1" applyNumberFormat="1" applyFont="1"/>
  </cellXfs>
  <cellStyles count="2">
    <cellStyle name="Comma" xfId="1" builtinId="3"/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2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15C92B-7033-4A99-B09C-6CF49AEAF9BE}" name="Table1" displayName="Table1" ref="I3:M14" totalsRowCount="1" headerRowDxfId="21" dataDxfId="23">
  <autoFilter ref="I3:M13" xr:uid="{5F15C92B-7033-4A99-B09C-6CF49AEAF9BE}"/>
  <tableColumns count="5">
    <tableColumn id="1" xr3:uid="{AF8A3B3E-9245-4703-A4D6-DA7EDF18BA10}" name="Model" totalsRowLabel="Mean" dataDxfId="12" totalsRowDxfId="9"/>
    <tableColumn id="2" xr3:uid="{42978F44-899C-47DE-A9F1-9ACCD9FA1AAA}" name="Max Rate (Cases)" totalsRowFunction="custom" dataDxfId="10" totalsRowDxfId="8" dataCellStyle="Comma">
      <calculatedColumnFormula>B4*$B$1</calculatedColumnFormula>
      <totalsRowFormula>AVERAGE(Table1[Max Rate (Cases)])</totalsRowFormula>
    </tableColumn>
    <tableColumn id="3" xr3:uid="{0C3F4248-BFB7-4BE6-94F1-FA698C4C1EBC}" name="Half-Width (Weeks)" totalsRowFunction="custom" dataDxfId="11" totalsRowDxfId="7">
      <totalsRowFormula>AVERAGE(Table1[Half-Width (Weeks)])</totalsRowFormula>
    </tableColumn>
    <tableColumn id="4" xr3:uid="{EEA69209-B1F7-44C2-B9A1-9495B14A309C}" name="Half-Width Adj (Weeks)" totalsRowFunction="custom" dataDxfId="22" totalsRowDxfId="6">
      <totalsRowFormula>AVERAGE(Table1[Half-Width Adj (Weeks)])</totalsRowFormula>
    </tableColumn>
    <tableColumn id="5" xr3:uid="{766EC484-E201-4982-B96C-9201B98C4515}" name="Max Week" totalsRowFunction="custom" dataDxfId="20" totalsRowDxfId="5">
      <totalsRowFormula>AVERAGE(Table1[Max Week])</totalsRow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B070A4-DEFC-4272-B34F-2AD810C2F9E2}" name="Table14" displayName="Table14" ref="I17:M28" totalsRowCount="1" headerRowDxfId="19" dataDxfId="18">
  <autoFilter ref="I17:M27" xr:uid="{8FB070A4-DEFC-4272-B34F-2AD810C2F9E2}"/>
  <tableColumns count="5">
    <tableColumn id="1" xr3:uid="{C3A5743A-E35F-4AD8-974E-6A702D2AE592}" name="Model" totalsRowLabel="Mean" dataDxfId="17" totalsRowDxfId="4"/>
    <tableColumn id="2" xr3:uid="{DE8D9FF0-76B5-438F-A1DB-C2C2165BC8C0}" name="Max Rate (Cases)" totalsRowFunction="custom" dataDxfId="16" totalsRowDxfId="3" dataCellStyle="Comma">
      <calculatedColumnFormula>B18*$B$1</calculatedColumnFormula>
      <totalsRowFormula>AVERAGE(Table14[Max Rate (Cases)])</totalsRowFormula>
    </tableColumn>
    <tableColumn id="3" xr3:uid="{1F5586A0-CDE4-4A96-AB98-34EA914FEE01}" name="Half-Width (Weeks)" totalsRowFunction="custom" dataDxfId="15" totalsRowDxfId="2">
      <totalsRowFormula>AVERAGE(Table14[Half-Width (Weeks)])</totalsRowFormula>
    </tableColumn>
    <tableColumn id="4" xr3:uid="{80B625EB-3697-4B57-ABB0-D47B504E2214}" name="Half-Width Adj (Weeks)" totalsRowFunction="custom" dataDxfId="13" totalsRowDxfId="1">
      <totalsRowFormula>AVERAGE(Table14[Half-Width Adj (Weeks)])</totalsRowFormula>
    </tableColumn>
    <tableColumn id="5" xr3:uid="{0264FFAF-4437-47B8-B04F-A28DE7E5145C}" name="Max Week" totalsRowFunction="custom" dataDxfId="14" totalsRowDxfId="0">
      <calculatedColumnFormula>D18+30</calculatedColumnFormula>
      <totalsRowFormula>AVERAGE(Table14[Max Week])</totalsRow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211DF-7FA1-4038-A4FC-A24EBE4CF847}">
  <dimension ref="A1:M29"/>
  <sheetViews>
    <sheetView tabSelected="1" topLeftCell="A13" workbookViewId="0">
      <selection activeCell="N22" sqref="N22"/>
    </sheetView>
  </sheetViews>
  <sheetFormatPr defaultRowHeight="14.4" x14ac:dyDescent="0.3"/>
  <cols>
    <col min="9" max="13" width="12.77734375" customWidth="1"/>
  </cols>
  <sheetData>
    <row r="1" spans="1:13" x14ac:dyDescent="0.3">
      <c r="A1" s="3" t="s">
        <v>0</v>
      </c>
      <c r="B1" s="2">
        <v>46044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8.8" x14ac:dyDescent="0.3">
      <c r="A3" s="3" t="s">
        <v>15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/>
      <c r="H3" s="3"/>
      <c r="I3" s="7" t="s">
        <v>15</v>
      </c>
      <c r="J3" s="7" t="s">
        <v>18</v>
      </c>
      <c r="K3" s="7" t="s">
        <v>17</v>
      </c>
      <c r="L3" s="7" t="s">
        <v>19</v>
      </c>
      <c r="M3" s="7" t="s">
        <v>16</v>
      </c>
    </row>
    <row r="4" spans="1:13" x14ac:dyDescent="0.3">
      <c r="A4" s="3" t="s">
        <v>5</v>
      </c>
      <c r="B4" s="4">
        <v>1.032246</v>
      </c>
      <c r="C4" s="4">
        <v>10.818647</v>
      </c>
      <c r="D4" s="4">
        <v>21.546239</v>
      </c>
      <c r="E4" s="4">
        <v>52</v>
      </c>
      <c r="F4" s="4">
        <v>5.2325020000000002</v>
      </c>
      <c r="G4" s="4">
        <f>D4+30</f>
        <v>51.546239</v>
      </c>
      <c r="H4" s="3"/>
      <c r="I4" s="3" t="s">
        <v>29</v>
      </c>
      <c r="J4" s="5">
        <f>B4*$B$1</f>
        <v>47528.734823999999</v>
      </c>
      <c r="K4" s="6">
        <v>10.818647</v>
      </c>
      <c r="L4" s="6">
        <v>5.2325020000000002</v>
      </c>
      <c r="M4" s="4">
        <v>51.546239</v>
      </c>
    </row>
    <row r="5" spans="1:13" x14ac:dyDescent="0.3">
      <c r="A5" s="3" t="s">
        <v>6</v>
      </c>
      <c r="B5" s="4">
        <v>0.84213000000000005</v>
      </c>
      <c r="C5" s="4">
        <v>11.514607</v>
      </c>
      <c r="D5" s="4">
        <v>21.825241999999999</v>
      </c>
      <c r="E5" s="4">
        <v>52</v>
      </c>
      <c r="F5" s="4">
        <v>5.5691059999999997</v>
      </c>
      <c r="G5" s="4">
        <f t="shared" ref="G5:G13" si="0">D5+30</f>
        <v>51.825242000000003</v>
      </c>
      <c r="H5" s="3"/>
      <c r="I5" s="3" t="s">
        <v>23</v>
      </c>
      <c r="J5" s="5">
        <f t="shared" ref="J5:J13" si="1">B5*$B$1</f>
        <v>38775.033719999999</v>
      </c>
      <c r="K5" s="6">
        <v>11.514607</v>
      </c>
      <c r="L5" s="6">
        <v>5.5691059999999997</v>
      </c>
      <c r="M5" s="4">
        <v>51.825242000000003</v>
      </c>
    </row>
    <row r="6" spans="1:13" x14ac:dyDescent="0.3">
      <c r="A6" s="3" t="s">
        <v>7</v>
      </c>
      <c r="B6" s="4">
        <v>0.94703199999999998</v>
      </c>
      <c r="C6" s="4">
        <v>9.4750730000000001</v>
      </c>
      <c r="D6" s="4">
        <v>20.648973999999999</v>
      </c>
      <c r="E6" s="4">
        <v>51</v>
      </c>
      <c r="F6" s="4">
        <v>4.5826739999999999</v>
      </c>
      <c r="G6" s="4">
        <f t="shared" si="0"/>
        <v>50.648973999999995</v>
      </c>
      <c r="H6" s="3"/>
      <c r="I6" s="3" t="s">
        <v>22</v>
      </c>
      <c r="J6" s="5">
        <f t="shared" si="1"/>
        <v>43605.141407999996</v>
      </c>
      <c r="K6" s="6">
        <v>9.4750730000000001</v>
      </c>
      <c r="L6" s="6">
        <v>4.5826739999999999</v>
      </c>
      <c r="M6" s="4">
        <v>50.648973999999995</v>
      </c>
    </row>
    <row r="7" spans="1:13" x14ac:dyDescent="0.3">
      <c r="A7" s="3" t="s">
        <v>8</v>
      </c>
      <c r="B7" s="4">
        <v>0.92175600000000002</v>
      </c>
      <c r="C7" s="4">
        <v>8.7152670000000008</v>
      </c>
      <c r="D7" s="4">
        <v>22.646533999999999</v>
      </c>
      <c r="E7" s="4">
        <v>53</v>
      </c>
      <c r="F7" s="4">
        <v>4.2151899999999998</v>
      </c>
      <c r="G7" s="4">
        <f t="shared" si="0"/>
        <v>52.646534000000003</v>
      </c>
      <c r="H7" s="3"/>
      <c r="I7" s="3" t="s">
        <v>24</v>
      </c>
      <c r="J7" s="5">
        <f t="shared" si="1"/>
        <v>42441.333264000001</v>
      </c>
      <c r="K7" s="6">
        <v>8.7152670000000008</v>
      </c>
      <c r="L7" s="6">
        <v>4.2151899999999998</v>
      </c>
      <c r="M7" s="4">
        <v>52.646534000000003</v>
      </c>
    </row>
    <row r="8" spans="1:13" x14ac:dyDescent="0.3">
      <c r="A8" s="3" t="s">
        <v>9</v>
      </c>
      <c r="B8" s="4">
        <v>0.94808499999999996</v>
      </c>
      <c r="C8" s="4">
        <v>9.8766829999999999</v>
      </c>
      <c r="D8" s="4">
        <v>21.607849999999999</v>
      </c>
      <c r="E8" s="4">
        <v>52</v>
      </c>
      <c r="F8" s="4">
        <v>4.7769149999999998</v>
      </c>
      <c r="G8" s="4">
        <f t="shared" si="0"/>
        <v>51.607849999999999</v>
      </c>
      <c r="H8" s="3"/>
      <c r="I8" s="3" t="s">
        <v>20</v>
      </c>
      <c r="J8" s="5">
        <f t="shared" si="1"/>
        <v>43653.625739999996</v>
      </c>
      <c r="K8" s="6">
        <v>9.8766829999999999</v>
      </c>
      <c r="L8" s="6">
        <v>4.7769149999999998</v>
      </c>
      <c r="M8" s="4">
        <v>51.607849999999999</v>
      </c>
    </row>
    <row r="9" spans="1:13" x14ac:dyDescent="0.3">
      <c r="A9" s="3" t="s">
        <v>10</v>
      </c>
      <c r="B9" s="4">
        <v>1.1563730000000001</v>
      </c>
      <c r="C9" s="4">
        <v>11.655272999999999</v>
      </c>
      <c r="D9" s="4">
        <v>20.418517000000001</v>
      </c>
      <c r="E9" s="4">
        <v>50</v>
      </c>
      <c r="F9" s="4">
        <v>5.6371399999999996</v>
      </c>
      <c r="G9" s="4">
        <f t="shared" si="0"/>
        <v>50.418517000000001</v>
      </c>
      <c r="H9" s="3"/>
      <c r="I9" s="3" t="s">
        <v>21</v>
      </c>
      <c r="J9" s="5">
        <f t="shared" si="1"/>
        <v>53244.038412000002</v>
      </c>
      <c r="K9" s="6">
        <v>11.655272999999999</v>
      </c>
      <c r="L9" s="6">
        <v>5.6371399999999996</v>
      </c>
      <c r="M9" s="4">
        <v>50.418517000000001</v>
      </c>
    </row>
    <row r="10" spans="1:13" x14ac:dyDescent="0.3">
      <c r="A10" s="3" t="s">
        <v>11</v>
      </c>
      <c r="B10" s="4">
        <v>0.81010199999999999</v>
      </c>
      <c r="C10" s="4">
        <v>9.9486910000000002</v>
      </c>
      <c r="D10" s="4">
        <v>21.911072999999998</v>
      </c>
      <c r="E10" s="4">
        <v>52</v>
      </c>
      <c r="F10" s="4">
        <v>4.8117419999999997</v>
      </c>
      <c r="G10" s="4">
        <f t="shared" si="0"/>
        <v>51.911073000000002</v>
      </c>
      <c r="H10" s="3"/>
      <c r="I10" s="3" t="s">
        <v>25</v>
      </c>
      <c r="J10" s="5">
        <f t="shared" si="1"/>
        <v>37300.336488000001</v>
      </c>
      <c r="K10" s="6">
        <v>9.9486910000000002</v>
      </c>
      <c r="L10" s="6">
        <v>4.8117419999999997</v>
      </c>
      <c r="M10" s="4">
        <v>51.911073000000002</v>
      </c>
    </row>
    <row r="11" spans="1:13" x14ac:dyDescent="0.3">
      <c r="A11" s="3" t="s">
        <v>12</v>
      </c>
      <c r="B11" s="4">
        <v>0.89738600000000002</v>
      </c>
      <c r="C11" s="4">
        <v>11.50141</v>
      </c>
      <c r="D11" s="4">
        <v>20.035005000000002</v>
      </c>
      <c r="E11" s="4">
        <v>50</v>
      </c>
      <c r="F11" s="4">
        <v>5.5627240000000002</v>
      </c>
      <c r="G11" s="4">
        <f t="shared" si="0"/>
        <v>50.035004999999998</v>
      </c>
      <c r="H11" s="3"/>
      <c r="I11" s="3" t="s">
        <v>26</v>
      </c>
      <c r="J11" s="5">
        <f t="shared" si="1"/>
        <v>41319.240984000004</v>
      </c>
      <c r="K11" s="6">
        <v>11.50141</v>
      </c>
      <c r="L11" s="6">
        <v>5.5627240000000002</v>
      </c>
      <c r="M11" s="4">
        <v>50.035004999999998</v>
      </c>
    </row>
    <row r="12" spans="1:13" x14ac:dyDescent="0.3">
      <c r="A12" s="3" t="s">
        <v>13</v>
      </c>
      <c r="B12" s="4">
        <v>1.0638559999999999</v>
      </c>
      <c r="C12" s="4">
        <v>9.7740170000000006</v>
      </c>
      <c r="D12" s="4">
        <v>20.718409000000001</v>
      </c>
      <c r="E12" s="4">
        <v>51</v>
      </c>
      <c r="F12" s="4">
        <v>4.7272600000000002</v>
      </c>
      <c r="G12" s="4">
        <f t="shared" si="0"/>
        <v>50.718409000000001</v>
      </c>
      <c r="H12" s="3"/>
      <c r="I12" s="3" t="s">
        <v>27</v>
      </c>
      <c r="J12" s="5">
        <f t="shared" si="1"/>
        <v>48984.185663999997</v>
      </c>
      <c r="K12" s="6">
        <v>9.7740170000000006</v>
      </c>
      <c r="L12" s="6">
        <v>4.7272600000000002</v>
      </c>
      <c r="M12" s="4">
        <v>50.718409000000001</v>
      </c>
    </row>
    <row r="13" spans="1:13" x14ac:dyDescent="0.3">
      <c r="A13" s="3" t="s">
        <v>14</v>
      </c>
      <c r="B13" s="4">
        <v>0.969167</v>
      </c>
      <c r="C13" s="4">
        <v>8.7023620000000008</v>
      </c>
      <c r="D13" s="4">
        <v>21.717542999999999</v>
      </c>
      <c r="E13" s="4">
        <v>52</v>
      </c>
      <c r="F13" s="4">
        <v>4.2089480000000004</v>
      </c>
      <c r="G13" s="4">
        <f t="shared" si="0"/>
        <v>51.717542999999999</v>
      </c>
      <c r="H13" s="3"/>
      <c r="I13" s="3" t="s">
        <v>28</v>
      </c>
      <c r="J13" s="5">
        <f t="shared" si="1"/>
        <v>44624.325347999998</v>
      </c>
      <c r="K13" s="6">
        <v>8.7023620000000008</v>
      </c>
      <c r="L13" s="6">
        <v>4.2089480000000004</v>
      </c>
      <c r="M13" s="4">
        <v>51.717542999999999</v>
      </c>
    </row>
    <row r="14" spans="1:13" x14ac:dyDescent="0.3">
      <c r="I14" s="3" t="s">
        <v>30</v>
      </c>
      <c r="J14" s="8">
        <f>AVERAGE(Table1[Max Rate (Cases)])</f>
        <v>44147.599585199991</v>
      </c>
      <c r="K14" s="9">
        <f>AVERAGE(Table1[Half-Width (Weeks)])</f>
        <v>10.198203000000001</v>
      </c>
      <c r="L14" s="9">
        <f>AVERAGE(Table1[Half-Width Adj (Weeks)])</f>
        <v>4.9324200999999999</v>
      </c>
      <c r="M14" s="9">
        <f>AVERAGE(Table1[Max Week])</f>
        <v>51.307538600000001</v>
      </c>
    </row>
    <row r="15" spans="1:13" x14ac:dyDescent="0.3">
      <c r="I15" t="s">
        <v>31</v>
      </c>
      <c r="J15" s="10">
        <f>STDEV(Table1[Max Rate (Cases)])</f>
        <v>4772.5582616910733</v>
      </c>
      <c r="K15" s="1">
        <f>STDEV(Table1[Half-Width (Weeks)])</f>
        <v>1.1177553550416162</v>
      </c>
      <c r="L15" s="1">
        <f>STDEV(Table1[Half-Width Adj (Weeks)])</f>
        <v>0.54060872713028429</v>
      </c>
      <c r="M15" s="1">
        <f>STDEV(Table1[Max Week])</f>
        <v>0.81178335067446938</v>
      </c>
    </row>
    <row r="17" spans="1:13" ht="28.8" x14ac:dyDescent="0.3">
      <c r="A17" t="s">
        <v>0</v>
      </c>
      <c r="B17" t="s">
        <v>1</v>
      </c>
      <c r="C17" t="s">
        <v>2</v>
      </c>
      <c r="D17" t="s">
        <v>3</v>
      </c>
      <c r="E17" t="s">
        <v>4</v>
      </c>
      <c r="I17" s="7" t="s">
        <v>15</v>
      </c>
      <c r="J17" s="7" t="s">
        <v>18</v>
      </c>
      <c r="K17" s="7" t="s">
        <v>17</v>
      </c>
      <c r="L17" s="7" t="s">
        <v>19</v>
      </c>
      <c r="M17" s="7" t="s">
        <v>16</v>
      </c>
    </row>
    <row r="18" spans="1:13" x14ac:dyDescent="0.3">
      <c r="A18" t="s">
        <v>5</v>
      </c>
      <c r="B18">
        <v>0.98268800000000001</v>
      </c>
      <c r="C18">
        <v>4.9343019999999997</v>
      </c>
      <c r="D18">
        <v>22.329311000000001</v>
      </c>
      <c r="E18">
        <v>52</v>
      </c>
      <c r="F18">
        <v>3.924741</v>
      </c>
      <c r="I18" s="3" t="s">
        <v>29</v>
      </c>
      <c r="J18" s="5">
        <f>B18*$B$1</f>
        <v>45246.886272000003</v>
      </c>
      <c r="K18" s="1">
        <v>4.9343019999999997</v>
      </c>
      <c r="L18" s="1">
        <v>3.924741</v>
      </c>
      <c r="M18" s="4">
        <f>D18+30</f>
        <v>52.329311000000004</v>
      </c>
    </row>
    <row r="19" spans="1:13" x14ac:dyDescent="0.3">
      <c r="A19" t="s">
        <v>6</v>
      </c>
      <c r="B19">
        <v>1.3749629999999999</v>
      </c>
      <c r="C19">
        <v>7.0817410000000001</v>
      </c>
      <c r="D19">
        <v>22.030391999999999</v>
      </c>
      <c r="E19">
        <v>52</v>
      </c>
      <c r="F19">
        <v>5.6328120000000004</v>
      </c>
      <c r="I19" s="3" t="s">
        <v>23</v>
      </c>
      <c r="J19" s="5">
        <f t="shared" ref="J19:J27" si="2">B19*$B$1</f>
        <v>63308.796371999997</v>
      </c>
      <c r="K19" s="1">
        <v>7.0817410000000001</v>
      </c>
      <c r="L19" s="1">
        <v>5.6328120000000004</v>
      </c>
      <c r="M19" s="4">
        <f t="shared" ref="M19:M27" si="3">D19+30</f>
        <v>52.030391999999999</v>
      </c>
    </row>
    <row r="20" spans="1:13" x14ac:dyDescent="0.3">
      <c r="A20" t="s">
        <v>7</v>
      </c>
      <c r="B20">
        <v>1.432804</v>
      </c>
      <c r="C20">
        <v>5.1457280000000001</v>
      </c>
      <c r="D20">
        <v>20.619607999999999</v>
      </c>
      <c r="E20">
        <v>51</v>
      </c>
      <c r="F20">
        <v>4.0929089999999997</v>
      </c>
      <c r="I20" s="3" t="s">
        <v>22</v>
      </c>
      <c r="J20" s="5">
        <f t="shared" si="2"/>
        <v>65972.027375999998</v>
      </c>
      <c r="K20" s="1">
        <v>5.1457280000000001</v>
      </c>
      <c r="L20" s="1">
        <v>4.0929089999999997</v>
      </c>
      <c r="M20" s="4">
        <f t="shared" si="3"/>
        <v>50.619607999999999</v>
      </c>
    </row>
    <row r="21" spans="1:13" x14ac:dyDescent="0.3">
      <c r="A21" t="s">
        <v>8</v>
      </c>
      <c r="B21">
        <v>1.501749</v>
      </c>
      <c r="C21">
        <v>7.2621359999999999</v>
      </c>
      <c r="D21">
        <v>22.438113999999999</v>
      </c>
      <c r="E21">
        <v>52</v>
      </c>
      <c r="F21">
        <v>5.7762979999999997</v>
      </c>
      <c r="I21" s="3" t="s">
        <v>24</v>
      </c>
      <c r="J21" s="5">
        <f t="shared" si="2"/>
        <v>69146.530956000002</v>
      </c>
      <c r="K21" s="1">
        <v>7.2621359999999999</v>
      </c>
      <c r="L21" s="1">
        <v>5.7762979999999997</v>
      </c>
      <c r="M21" s="4">
        <f t="shared" si="3"/>
        <v>52.438113999999999</v>
      </c>
    </row>
    <row r="22" spans="1:13" x14ac:dyDescent="0.3">
      <c r="A22" t="s">
        <v>9</v>
      </c>
      <c r="B22">
        <v>1.18869</v>
      </c>
      <c r="C22">
        <v>6.9867920000000003</v>
      </c>
      <c r="D22">
        <v>22.524986999999999</v>
      </c>
      <c r="E22">
        <v>53</v>
      </c>
      <c r="F22">
        <v>5.5572900000000001</v>
      </c>
      <c r="I22" s="3" t="s">
        <v>20</v>
      </c>
      <c r="J22" s="5">
        <f t="shared" si="2"/>
        <v>54732.042359999999</v>
      </c>
      <c r="K22" s="1">
        <v>6.9867920000000003</v>
      </c>
      <c r="L22" s="1">
        <v>5.5572900000000001</v>
      </c>
      <c r="M22" s="4">
        <f t="shared" si="3"/>
        <v>52.524986999999996</v>
      </c>
    </row>
    <row r="23" spans="1:13" x14ac:dyDescent="0.3">
      <c r="A23" t="s">
        <v>10</v>
      </c>
      <c r="B23">
        <v>1.8431930000000001</v>
      </c>
      <c r="C23">
        <v>6.0841279999999998</v>
      </c>
      <c r="D23">
        <v>20.507648</v>
      </c>
      <c r="E23">
        <v>51</v>
      </c>
      <c r="F23">
        <v>4.8393110000000004</v>
      </c>
      <c r="I23" s="3" t="s">
        <v>21</v>
      </c>
      <c r="J23" s="5">
        <f t="shared" si="2"/>
        <v>84867.978492000009</v>
      </c>
      <c r="K23" s="1">
        <v>6.0841279999999998</v>
      </c>
      <c r="L23" s="1">
        <v>4.8393110000000004</v>
      </c>
      <c r="M23" s="4">
        <f t="shared" si="3"/>
        <v>50.507648000000003</v>
      </c>
    </row>
    <row r="24" spans="1:13" x14ac:dyDescent="0.3">
      <c r="A24" t="s">
        <v>11</v>
      </c>
      <c r="B24">
        <v>1.42167</v>
      </c>
      <c r="C24">
        <v>7.9179510000000004</v>
      </c>
      <c r="D24">
        <v>21.984838</v>
      </c>
      <c r="E24">
        <v>52</v>
      </c>
      <c r="F24">
        <v>6.2979329999999996</v>
      </c>
      <c r="I24" s="3" t="s">
        <v>25</v>
      </c>
      <c r="J24" s="5">
        <f t="shared" si="2"/>
        <v>65459.373480000002</v>
      </c>
      <c r="K24" s="1">
        <v>7.9179510000000004</v>
      </c>
      <c r="L24" s="1">
        <v>6.2979329999999996</v>
      </c>
      <c r="M24" s="4">
        <f t="shared" si="3"/>
        <v>51.984837999999996</v>
      </c>
    </row>
    <row r="25" spans="1:13" x14ac:dyDescent="0.3">
      <c r="A25" t="s">
        <v>12</v>
      </c>
      <c r="B25">
        <v>1.5588169999999999</v>
      </c>
      <c r="C25">
        <v>5.481414</v>
      </c>
      <c r="D25">
        <v>21.186744999999998</v>
      </c>
      <c r="E25">
        <v>51</v>
      </c>
      <c r="F25">
        <v>4.3599129999999997</v>
      </c>
      <c r="I25" s="3" t="s">
        <v>26</v>
      </c>
      <c r="J25" s="5">
        <f t="shared" si="2"/>
        <v>71774.169947999995</v>
      </c>
      <c r="K25" s="1">
        <v>5.481414</v>
      </c>
      <c r="L25" s="1">
        <v>4.3599129999999997</v>
      </c>
      <c r="M25" s="4">
        <f t="shared" si="3"/>
        <v>51.186745000000002</v>
      </c>
    </row>
    <row r="26" spans="1:13" x14ac:dyDescent="0.3">
      <c r="A26" t="s">
        <v>13</v>
      </c>
      <c r="B26">
        <v>1.466302</v>
      </c>
      <c r="C26">
        <v>6.7356749999999996</v>
      </c>
      <c r="D26">
        <v>21.122333999999999</v>
      </c>
      <c r="E26">
        <v>51</v>
      </c>
      <c r="F26">
        <v>5.3575520000000001</v>
      </c>
      <c r="I26" s="3" t="s">
        <v>27</v>
      </c>
      <c r="J26" s="5">
        <f t="shared" si="2"/>
        <v>67514.409287999995</v>
      </c>
      <c r="K26" s="1">
        <v>6.7356749999999996</v>
      </c>
      <c r="L26" s="1">
        <v>5.3575520000000001</v>
      </c>
      <c r="M26" s="4">
        <f t="shared" si="3"/>
        <v>51.122333999999995</v>
      </c>
    </row>
    <row r="27" spans="1:13" x14ac:dyDescent="0.3">
      <c r="A27" t="s">
        <v>14</v>
      </c>
      <c r="B27">
        <v>1.5037259999999999</v>
      </c>
      <c r="C27">
        <v>7.0461600000000004</v>
      </c>
      <c r="D27">
        <v>21.900856000000001</v>
      </c>
      <c r="E27">
        <v>52</v>
      </c>
      <c r="F27">
        <v>5.6045119999999997</v>
      </c>
      <c r="I27" s="3" t="s">
        <v>28</v>
      </c>
      <c r="J27" s="5">
        <f t="shared" si="2"/>
        <v>69237.559943999993</v>
      </c>
      <c r="K27" s="1">
        <v>7.0461600000000004</v>
      </c>
      <c r="L27" s="1">
        <v>5.6045119999999997</v>
      </c>
      <c r="M27" s="4">
        <f t="shared" si="3"/>
        <v>51.900856000000005</v>
      </c>
    </row>
    <row r="28" spans="1:13" x14ac:dyDescent="0.3">
      <c r="I28" s="3" t="s">
        <v>30</v>
      </c>
      <c r="J28" s="8">
        <f>AVERAGE(Table14[Max Rate (Cases)])</f>
        <v>65725.977448799997</v>
      </c>
      <c r="K28" s="9">
        <f>AVERAGE(Table14[Half-Width (Weeks)])</f>
        <v>6.4676027000000005</v>
      </c>
      <c r="L28" s="9">
        <f>AVERAGE(Table14[Half-Width Adj (Weeks)])</f>
        <v>5.1443270999999999</v>
      </c>
      <c r="M28" s="9">
        <f>AVERAGE(Table14[Max Week])</f>
        <v>51.664483299999993</v>
      </c>
    </row>
    <row r="29" spans="1:13" x14ac:dyDescent="0.3">
      <c r="I29" t="s">
        <v>31</v>
      </c>
      <c r="J29" s="10">
        <f>STDEV(Table14[Max Rate (Cases)])</f>
        <v>10416.124730277312</v>
      </c>
      <c r="K29" s="1">
        <f>STDEV(Table14[Half-Width (Weeks)])</f>
        <v>1.0003384316743371</v>
      </c>
      <c r="L29" s="1">
        <f>STDEV(Table14[Half-Width Adj (Weeks)])</f>
        <v>0.7956684976443722</v>
      </c>
      <c r="M29" s="1">
        <f>STDEV(Table14[Max Week])</f>
        <v>0.7472577543473421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Johnson</dc:creator>
  <cp:lastModifiedBy>Christopher Johnson</cp:lastModifiedBy>
  <dcterms:created xsi:type="dcterms:W3CDTF">2025-07-18T15:35:11Z</dcterms:created>
  <dcterms:modified xsi:type="dcterms:W3CDTF">2025-07-18T17:59:30Z</dcterms:modified>
</cp:coreProperties>
</file>