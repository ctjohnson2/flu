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topher.johnson\Documents\GitHub\flu\data\"/>
    </mc:Choice>
  </mc:AlternateContent>
  <xr:revisionPtr revIDLastSave="0" documentId="13_ncr:1_{8D3B5B24-6865-4315-A18D-82F270A7E744}" xr6:coauthVersionLast="47" xr6:coauthVersionMax="47" xr10:uidLastSave="{00000000-0000-0000-0000-000000000000}"/>
  <bookViews>
    <workbookView xWindow="-28920" yWindow="-1785" windowWidth="29040" windowHeight="15720" activeTab="1" xr2:uid="{11A36013-8756-48B6-B10C-B88575A86A49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B2" i="2"/>
  <c r="K40" i="1"/>
  <c r="J40" i="1"/>
  <c r="K39" i="1"/>
  <c r="J39" i="1"/>
  <c r="K37" i="1"/>
  <c r="J37" i="1"/>
  <c r="K36" i="1"/>
  <c r="J36" i="1"/>
  <c r="T29" i="1"/>
  <c r="S29" i="1"/>
  <c r="R29" i="1"/>
  <c r="T28" i="1"/>
  <c r="S28" i="1"/>
  <c r="R28" i="1"/>
  <c r="Q27" i="1"/>
  <c r="Q26" i="1"/>
  <c r="Q25" i="1"/>
  <c r="Q24" i="1"/>
  <c r="Q23" i="1"/>
  <c r="Q22" i="1"/>
  <c r="Q21" i="1"/>
  <c r="Q20" i="1"/>
  <c r="Q19" i="1"/>
  <c r="Q18" i="1"/>
  <c r="R15" i="1"/>
  <c r="S15" i="1"/>
  <c r="T15" i="1"/>
  <c r="R14" i="1"/>
  <c r="S14" i="1"/>
  <c r="T14" i="1"/>
  <c r="Q5" i="1"/>
  <c r="Q6" i="1"/>
  <c r="Q7" i="1"/>
  <c r="Q8" i="1"/>
  <c r="Q9" i="1"/>
  <c r="Q10" i="1"/>
  <c r="Q11" i="1"/>
  <c r="Q12" i="1"/>
  <c r="Q13" i="1"/>
  <c r="Q4" i="1"/>
  <c r="K29" i="1"/>
  <c r="L29" i="1"/>
  <c r="M29" i="1"/>
  <c r="K28" i="1"/>
  <c r="L28" i="1"/>
  <c r="M28" i="1"/>
  <c r="K15" i="1"/>
  <c r="L15" i="1"/>
  <c r="M15" i="1"/>
  <c r="K14" i="1"/>
  <c r="L14" i="1"/>
  <c r="M14" i="1"/>
  <c r="M19" i="1"/>
  <c r="M20" i="1"/>
  <c r="M21" i="1"/>
  <c r="M22" i="1"/>
  <c r="M23" i="1"/>
  <c r="M24" i="1"/>
  <c r="M25" i="1"/>
  <c r="M26" i="1"/>
  <c r="M27" i="1"/>
  <c r="M18" i="1"/>
  <c r="J19" i="1"/>
  <c r="J28" i="1" s="1"/>
  <c r="J20" i="1"/>
  <c r="J21" i="1"/>
  <c r="J22" i="1"/>
  <c r="J23" i="1"/>
  <c r="J24" i="1"/>
  <c r="J25" i="1"/>
  <c r="J26" i="1"/>
  <c r="J27" i="1"/>
  <c r="J18" i="1"/>
  <c r="G5" i="1"/>
  <c r="G6" i="1"/>
  <c r="G7" i="1"/>
  <c r="G8" i="1"/>
  <c r="G9" i="1"/>
  <c r="G10" i="1"/>
  <c r="G11" i="1"/>
  <c r="G12" i="1"/>
  <c r="G13" i="1"/>
  <c r="G4" i="1"/>
  <c r="Q29" i="1" l="1"/>
  <c r="Q15" i="1"/>
  <c r="J29" i="1"/>
  <c r="Q28" i="1"/>
  <c r="Q14" i="1"/>
  <c r="J5" i="1"/>
  <c r="J6" i="1"/>
  <c r="J7" i="1"/>
  <c r="J8" i="1"/>
  <c r="J9" i="1"/>
  <c r="J10" i="1"/>
  <c r="J11" i="1"/>
  <c r="J12" i="1"/>
  <c r="J13" i="1"/>
  <c r="J4" i="1"/>
  <c r="J14" i="1" l="1"/>
  <c r="J15" i="1"/>
</calcChain>
</file>

<file path=xl/sharedStrings.xml><?xml version="1.0" encoding="utf-8"?>
<sst xmlns="http://schemas.openxmlformats.org/spreadsheetml/2006/main" count="155" uniqueCount="73">
  <si>
    <t>Max</t>
  </si>
  <si>
    <t>Width</t>
  </si>
  <si>
    <t>Loc</t>
  </si>
  <si>
    <t>max_loc_adj</t>
  </si>
  <si>
    <t>WidthAdj</t>
  </si>
  <si>
    <t>rnn</t>
  </si>
  <si>
    <t>rnn_lin1</t>
  </si>
  <si>
    <t>gru1</t>
  </si>
  <si>
    <t>gru_lin1</t>
  </si>
  <si>
    <t>lstm</t>
  </si>
  <si>
    <t>lstm1</t>
  </si>
  <si>
    <t>lstm_lin1</t>
  </si>
  <si>
    <t>lstm_comb</t>
  </si>
  <si>
    <t>rnn_comb</t>
  </si>
  <si>
    <t>gru_comb</t>
  </si>
  <si>
    <t>Model</t>
  </si>
  <si>
    <t>Max Week</t>
  </si>
  <si>
    <t>Half-Width (Weeks)</t>
  </si>
  <si>
    <t>Max Rate (Cases)</t>
  </si>
  <si>
    <t>Half-Width Adj (Weeks)</t>
  </si>
  <si>
    <t>LSTM2Lin1</t>
  </si>
  <si>
    <t>LSTM1Lin1</t>
  </si>
  <si>
    <t>GRU1Lin1</t>
  </si>
  <si>
    <t>RNN2Lin2</t>
  </si>
  <si>
    <t>GRU2Lin2</t>
  </si>
  <si>
    <t>LSTM2Lin2</t>
  </si>
  <si>
    <t>LSTM1Lin2</t>
  </si>
  <si>
    <t>RNN1Lin2</t>
  </si>
  <si>
    <t>GRU1Lin2</t>
  </si>
  <si>
    <t>RNN2Lin1</t>
  </si>
  <si>
    <t>Mean</t>
  </si>
  <si>
    <t>Std</t>
  </si>
  <si>
    <t>RNN2-Lin1</t>
  </si>
  <si>
    <t>RNN2-Lin2</t>
  </si>
  <si>
    <t>GRU1-Lin1</t>
  </si>
  <si>
    <t>GRU2-Lin2</t>
  </si>
  <si>
    <t>LSTM2-Lin1</t>
  </si>
  <si>
    <t>LSTM1-Lin1</t>
  </si>
  <si>
    <t>LSTM2-Lin2</t>
  </si>
  <si>
    <t>LSTM1-Lin2</t>
  </si>
  <si>
    <t>RNN1-Lin2</t>
  </si>
  <si>
    <t>GRU1-Lin2</t>
  </si>
  <si>
    <t>22-23</t>
  </si>
  <si>
    <t>23-24</t>
  </si>
  <si>
    <t>Season</t>
  </si>
  <si>
    <t>A1</t>
  </si>
  <si>
    <t>Gam1</t>
  </si>
  <si>
    <t>t1</t>
  </si>
  <si>
    <t>A2</t>
  </si>
  <si>
    <t>Gam2</t>
  </si>
  <si>
    <t>t2</t>
  </si>
  <si>
    <t>Err</t>
  </si>
  <si>
    <t>Season 23-24</t>
  </si>
  <si>
    <r>
      <rPr>
        <sz val="11"/>
        <color theme="1"/>
        <rFont val="Aptos Narrow"/>
        <family val="2"/>
      </rPr>
      <t>Г</t>
    </r>
    <r>
      <rPr>
        <vertAlign val="subscript"/>
        <sz val="11"/>
        <color theme="1"/>
        <rFont val="Aptos Narrow"/>
        <family val="2"/>
      </rPr>
      <t>1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</si>
  <si>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</si>
  <si>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</si>
  <si>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Г</t>
    </r>
    <r>
      <rPr>
        <vertAlign val="subscript"/>
        <sz val="11"/>
        <color theme="1"/>
        <rFont val="Aptos Narrow"/>
        <family val="2"/>
      </rPr>
      <t>2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</si>
  <si>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</si>
  <si>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</si>
  <si>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Г</t>
    </r>
    <r>
      <rPr>
        <vertAlign val="subscript"/>
        <sz val="11"/>
        <color theme="1"/>
        <rFont val="Aptos Narrow"/>
        <family val="2"/>
      </rPr>
      <t>adj</t>
    </r>
  </si>
  <si>
    <t>09-10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</si>
  <si>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</si>
  <si>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</si>
  <si>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</si>
  <si>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</si>
  <si>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</si>
  <si>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</si>
  <si>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</si>
  <si>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</si>
  <si>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</si>
  <si>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</si>
  <si>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21-22</t>
  </si>
  <si>
    <t>24-25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</si>
</sst>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2" fontId="0" fillId="0" borderId="0" xfId="0" applyNumberFormat="1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164" fontId="3" fillId="0" borderId="0" xfId="1" applyNumberFormat="1" applyFont="1" applyAlignment="1">
      <alignment vertical="center"/>
    </xf>
    <xf numFmtId="2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vertical="center"/>
    </xf>
    <xf numFmtId="43" fontId="3" fillId="0" borderId="0" xfId="0" applyNumberFormat="1" applyFont="1" applyAlignment="1">
      <alignment vertical="center"/>
    </xf>
    <xf numFmtId="164" fontId="0" fillId="0" borderId="0" xfId="1" applyNumberFormat="1" applyFont="1"/>
    <xf numFmtId="164" fontId="3" fillId="0" borderId="0" xfId="1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3" fillId="0" borderId="2" xfId="1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166" fontId="3" fillId="0" borderId="0" xfId="0" applyNumberFormat="1" applyFont="1" applyAlignment="1">
      <alignment vertical="center"/>
    </xf>
    <xf numFmtId="166" fontId="3" fillId="0" borderId="2" xfId="0" applyNumberFormat="1" applyFont="1" applyBorder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166" fontId="6" fillId="0" borderId="0" xfId="1" applyNumberFormat="1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164" fontId="6" fillId="0" borderId="0" xfId="0" applyNumberFormat="1" applyFont="1"/>
    <xf numFmtId="166" fontId="6" fillId="0" borderId="0" xfId="0" applyNumberFormat="1" applyFont="1"/>
    <xf numFmtId="165" fontId="6" fillId="0" borderId="0" xfId="0" applyNumberFormat="1" applyFont="1"/>
    <xf numFmtId="11" fontId="0" fillId="0" borderId="0" xfId="0" applyNumberFormat="1"/>
    <xf numFmtId="0" fontId="3" fillId="0" borderId="0" xfId="0" applyFont="1" applyAlignment="1">
      <alignment horizontal="left" vertical="center" indent="1"/>
    </xf>
    <xf numFmtId="0" fontId="0" fillId="0" borderId="1" xfId="0" applyBorder="1"/>
    <xf numFmtId="43" fontId="0" fillId="0" borderId="0" xfId="1" applyFont="1"/>
    <xf numFmtId="165" fontId="0" fillId="0" borderId="0" xfId="1" applyNumberFormat="1" applyFont="1"/>
    <xf numFmtId="164" fontId="0" fillId="0" borderId="1" xfId="1" applyNumberFormat="1" applyFont="1" applyBorder="1"/>
    <xf numFmtId="0" fontId="7" fillId="0" borderId="0" xfId="0" applyFont="1"/>
    <xf numFmtId="0" fontId="10" fillId="0" borderId="0" xfId="0" applyFont="1" applyAlignment="1">
      <alignment horizontal="center" vertical="center"/>
    </xf>
    <xf numFmtId="49" fontId="0" fillId="0" borderId="0" xfId="0" applyNumberFormat="1"/>
    <xf numFmtId="0" fontId="4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15C92B-7033-4A99-B09C-6CF49AEAF9BE}" name="Table1" displayName="Table1" ref="I3:M14" totalsRowCount="1" headerRowDxfId="23" dataDxfId="22">
  <autoFilter ref="I3:M13" xr:uid="{5F15C92B-7033-4A99-B09C-6CF49AEAF9BE}"/>
  <tableColumns count="5">
    <tableColumn id="1" xr3:uid="{AF8A3B3E-9245-4703-A4D6-DA7EDF18BA10}" name="Model" totalsRowLabel="Mean" dataDxfId="21" totalsRowDxfId="20"/>
    <tableColumn id="2" xr3:uid="{42978F44-899C-47DE-A9F1-9ACCD9FA1AAA}" name="Max Rate (Cases)" totalsRowFunction="custom" dataDxfId="19" totalsRowDxfId="18" dataCellStyle="Comma">
      <calculatedColumnFormula>B4*$B$1</calculatedColumnFormula>
      <totalsRowFormula>AVERAGE(Table1[Max Rate (Cases)])</totalsRowFormula>
    </tableColumn>
    <tableColumn id="3" xr3:uid="{0C3F4248-BFB7-4BE6-94F1-FA698C4C1EBC}" name="Half-Width (Weeks)" totalsRowFunction="custom" dataDxfId="17" totalsRowDxfId="16">
      <totalsRowFormula>AVERAGE(Table1[Half-Width (Weeks)])</totalsRowFormula>
    </tableColumn>
    <tableColumn id="4" xr3:uid="{EEA69209-B1F7-44C2-B9A1-9495B14A309C}" name="Half-Width Adj (Weeks)" totalsRowFunction="custom" dataDxfId="15" totalsRowDxfId="14">
      <totalsRowFormula>AVERAGE(Table1[Half-Width Adj (Weeks)])</totalsRowFormula>
    </tableColumn>
    <tableColumn id="5" xr3:uid="{766EC484-E201-4982-B96C-9201B98C4515}" name="Max Week" totalsRowFunction="custom" dataDxfId="13" totalsRowDxfId="12">
      <totalsRowFormula>AVERAGE(Table1[Max Week])</totalsRow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B070A4-DEFC-4272-B34F-2AD810C2F9E2}" name="Table14" displayName="Table14" ref="I17:M28" totalsRowCount="1" headerRowDxfId="11" dataDxfId="10">
  <autoFilter ref="I17:M27" xr:uid="{8FB070A4-DEFC-4272-B34F-2AD810C2F9E2}"/>
  <tableColumns count="5">
    <tableColumn id="1" xr3:uid="{C3A5743A-E35F-4AD8-974E-6A702D2AE592}" name="Model" totalsRowLabel="Mean" dataDxfId="9" totalsRowDxfId="8"/>
    <tableColumn id="2" xr3:uid="{DE8D9FF0-76B5-438F-A1DB-C2C2165BC8C0}" name="Max Rate (Cases)" totalsRowFunction="custom" dataDxfId="7" totalsRowDxfId="6" dataCellStyle="Comma">
      <calculatedColumnFormula>B18*$B$1</calculatedColumnFormula>
      <totalsRowFormula>AVERAGE(Table14[Max Rate (Cases)])</totalsRowFormula>
    </tableColumn>
    <tableColumn id="3" xr3:uid="{1F5586A0-CDE4-4A96-AB98-34EA914FEE01}" name="Half-Width (Weeks)" totalsRowFunction="custom" dataDxfId="5" totalsRowDxfId="4">
      <totalsRowFormula>AVERAGE(Table14[Half-Width (Weeks)])</totalsRowFormula>
    </tableColumn>
    <tableColumn id="4" xr3:uid="{80B625EB-3697-4B57-ABB0-D47B504E2214}" name="Half-Width Adj (Weeks)" totalsRowFunction="custom" dataDxfId="3" totalsRowDxfId="2">
      <totalsRowFormula>AVERAGE(Table14[Half-Width Adj (Weeks)])</totalsRowFormula>
    </tableColumn>
    <tableColumn id="5" xr3:uid="{0264FFAF-4437-47B8-B04F-A28DE7E5145C}" name="Max Week" totalsRowFunction="custom" dataDxfId="1" totalsRowDxfId="0">
      <calculatedColumnFormula>D18+30</calculatedColumnFormula>
      <totalsRowFormula>AVERAGE(Table14[Max Week])</totalsRow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211DF-7FA1-4038-A4FC-A24EBE4CF847}">
  <dimension ref="A1:AA47"/>
  <sheetViews>
    <sheetView showGridLines="0" workbookViewId="0">
      <selection activeCell="H3" sqref="H3"/>
    </sheetView>
  </sheetViews>
  <sheetFormatPr defaultRowHeight="15" x14ac:dyDescent="0.25"/>
  <cols>
    <col min="9" max="9" width="5.7109375" customWidth="1"/>
    <col min="10" max="13" width="12.7109375" customWidth="1"/>
    <col min="16" max="16" width="11.85546875" customWidth="1"/>
    <col min="17" max="20" width="12.28515625" customWidth="1"/>
    <col min="23" max="23" width="12.7109375" customWidth="1"/>
  </cols>
  <sheetData>
    <row r="1" spans="1:27" x14ac:dyDescent="0.25">
      <c r="A1" s="3" t="s">
        <v>0</v>
      </c>
      <c r="B1" s="2">
        <v>32767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2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27" ht="30" x14ac:dyDescent="0.25">
      <c r="A3" s="3" t="s">
        <v>15</v>
      </c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/>
      <c r="H3" s="3"/>
      <c r="I3" s="7" t="s">
        <v>15</v>
      </c>
      <c r="J3" s="7" t="s">
        <v>18</v>
      </c>
      <c r="K3" s="7" t="s">
        <v>17</v>
      </c>
      <c r="L3" s="7" t="s">
        <v>19</v>
      </c>
      <c r="M3" s="7" t="s">
        <v>16</v>
      </c>
      <c r="P3" s="24" t="s">
        <v>15</v>
      </c>
      <c r="Q3" s="24" t="s">
        <v>18</v>
      </c>
      <c r="R3" s="24" t="s">
        <v>17</v>
      </c>
      <c r="S3" s="24" t="s">
        <v>19</v>
      </c>
      <c r="T3" s="24" t="s">
        <v>16</v>
      </c>
      <c r="W3" s="24"/>
      <c r="X3" s="24"/>
      <c r="Y3" s="24"/>
      <c r="Z3" s="24"/>
      <c r="AA3" s="24"/>
    </row>
    <row r="4" spans="1:27" x14ac:dyDescent="0.25">
      <c r="A4" s="3" t="s">
        <v>5</v>
      </c>
      <c r="B4" s="4">
        <v>1.032246</v>
      </c>
      <c r="C4" s="4">
        <v>10.818647</v>
      </c>
      <c r="D4" s="4">
        <v>21.546239</v>
      </c>
      <c r="E4" s="4">
        <v>52</v>
      </c>
      <c r="F4" s="4">
        <v>5.2325020000000002</v>
      </c>
      <c r="G4" s="4">
        <f>D4+30</f>
        <v>51.546239</v>
      </c>
      <c r="H4" s="3"/>
      <c r="I4" s="3" t="s">
        <v>29</v>
      </c>
      <c r="J4" s="5">
        <f>B4*$B$1</f>
        <v>33823.604681999997</v>
      </c>
      <c r="K4" s="6">
        <v>10.818647</v>
      </c>
      <c r="L4" s="6">
        <v>5.2325020000000002</v>
      </c>
      <c r="M4" s="4">
        <v>51.546239</v>
      </c>
      <c r="P4" s="13" t="s">
        <v>32</v>
      </c>
      <c r="Q4" s="14">
        <f>B4*$B$1</f>
        <v>33823.604681999997</v>
      </c>
      <c r="R4" s="19">
        <v>10.818647</v>
      </c>
      <c r="S4" s="19">
        <v>5.2325020000000002</v>
      </c>
      <c r="T4" s="19">
        <v>51.546239</v>
      </c>
      <c r="W4" s="13" t="s">
        <v>32</v>
      </c>
      <c r="X4" s="14">
        <v>47528.734823999999</v>
      </c>
      <c r="Y4" s="19">
        <v>10.818647</v>
      </c>
      <c r="Z4" s="19">
        <v>5.2325020000000002</v>
      </c>
      <c r="AA4" s="19">
        <v>51.546239</v>
      </c>
    </row>
    <row r="5" spans="1:27" x14ac:dyDescent="0.25">
      <c r="A5" s="3" t="s">
        <v>6</v>
      </c>
      <c r="B5" s="4">
        <v>0.84213000000000005</v>
      </c>
      <c r="C5" s="4">
        <v>11.514607</v>
      </c>
      <c r="D5" s="4">
        <v>21.825241999999999</v>
      </c>
      <c r="E5" s="4">
        <v>52</v>
      </c>
      <c r="F5" s="4">
        <v>5.5691059999999997</v>
      </c>
      <c r="G5" s="4">
        <f t="shared" ref="G5:G13" si="0">D5+30</f>
        <v>51.825242000000003</v>
      </c>
      <c r="H5" s="3"/>
      <c r="I5" s="3" t="s">
        <v>23</v>
      </c>
      <c r="J5" s="5">
        <f t="shared" ref="J5:J13" si="1">B5*$B$1</f>
        <v>27594.073710000001</v>
      </c>
      <c r="K5" s="6">
        <v>11.514607</v>
      </c>
      <c r="L5" s="6">
        <v>5.5691059999999997</v>
      </c>
      <c r="M5" s="4">
        <v>51.825242000000003</v>
      </c>
      <c r="P5" s="12" t="s">
        <v>33</v>
      </c>
      <c r="Q5" s="11">
        <f t="shared" ref="Q5:Q13" si="2">B5*$B$1</f>
        <v>27594.073710000001</v>
      </c>
      <c r="R5" s="20">
        <v>11.514607</v>
      </c>
      <c r="S5" s="20">
        <v>5.5691059999999997</v>
      </c>
      <c r="T5" s="20">
        <v>51.825242000000003</v>
      </c>
      <c r="W5" s="12" t="s">
        <v>33</v>
      </c>
      <c r="X5" s="11">
        <v>38775.033719999999</v>
      </c>
      <c r="Y5" s="20">
        <v>11.514607</v>
      </c>
      <c r="Z5" s="20">
        <v>5.5691059999999997</v>
      </c>
      <c r="AA5" s="20">
        <v>51.825242000000003</v>
      </c>
    </row>
    <row r="6" spans="1:27" x14ac:dyDescent="0.25">
      <c r="A6" s="3" t="s">
        <v>7</v>
      </c>
      <c r="B6" s="4">
        <v>0.94703199999999998</v>
      </c>
      <c r="C6" s="4">
        <v>9.4750730000000001</v>
      </c>
      <c r="D6" s="4">
        <v>20.648973999999999</v>
      </c>
      <c r="E6" s="4">
        <v>51</v>
      </c>
      <c r="F6" s="4">
        <v>4.5826739999999999</v>
      </c>
      <c r="G6" s="4">
        <f t="shared" si="0"/>
        <v>50.648973999999995</v>
      </c>
      <c r="H6" s="3"/>
      <c r="I6" s="3" t="s">
        <v>22</v>
      </c>
      <c r="J6" s="5">
        <f t="shared" si="1"/>
        <v>31031.397543999999</v>
      </c>
      <c r="K6" s="6">
        <v>9.4750730000000001</v>
      </c>
      <c r="L6" s="6">
        <v>4.5826739999999999</v>
      </c>
      <c r="M6" s="4">
        <v>50.648973999999995</v>
      </c>
      <c r="P6" s="12" t="s">
        <v>34</v>
      </c>
      <c r="Q6" s="11">
        <f t="shared" si="2"/>
        <v>31031.397543999999</v>
      </c>
      <c r="R6" s="20">
        <v>9.4750730000000001</v>
      </c>
      <c r="S6" s="20">
        <v>4.5826739999999999</v>
      </c>
      <c r="T6" s="20">
        <v>50.648973999999995</v>
      </c>
      <c r="W6" s="12" t="s">
        <v>34</v>
      </c>
      <c r="X6" s="11">
        <v>43605.141407999996</v>
      </c>
      <c r="Y6" s="20">
        <v>9.4750730000000001</v>
      </c>
      <c r="Z6" s="20">
        <v>4.5826739999999999</v>
      </c>
      <c r="AA6" s="20">
        <v>50.648973999999995</v>
      </c>
    </row>
    <row r="7" spans="1:27" x14ac:dyDescent="0.25">
      <c r="A7" s="3" t="s">
        <v>8</v>
      </c>
      <c r="B7" s="4">
        <v>0.92175600000000002</v>
      </c>
      <c r="C7" s="4">
        <v>8.7152670000000008</v>
      </c>
      <c r="D7" s="4">
        <v>22.646533999999999</v>
      </c>
      <c r="E7" s="4">
        <v>53</v>
      </c>
      <c r="F7" s="4">
        <v>4.2151899999999998</v>
      </c>
      <c r="G7" s="4">
        <f t="shared" si="0"/>
        <v>52.646534000000003</v>
      </c>
      <c r="H7" s="3"/>
      <c r="I7" s="3" t="s">
        <v>24</v>
      </c>
      <c r="J7" s="5">
        <f t="shared" si="1"/>
        <v>30203.178852000001</v>
      </c>
      <c r="K7" s="6">
        <v>8.7152670000000008</v>
      </c>
      <c r="L7" s="6">
        <v>4.2151899999999998</v>
      </c>
      <c r="M7" s="4">
        <v>52.646534000000003</v>
      </c>
      <c r="P7" s="12" t="s">
        <v>35</v>
      </c>
      <c r="Q7" s="11">
        <f t="shared" si="2"/>
        <v>30203.178852000001</v>
      </c>
      <c r="R7" s="20">
        <v>8.7152670000000008</v>
      </c>
      <c r="S7" s="20">
        <v>4.2151899999999998</v>
      </c>
      <c r="T7" s="20">
        <v>52.646534000000003</v>
      </c>
      <c r="W7" s="12" t="s">
        <v>35</v>
      </c>
      <c r="X7" s="11">
        <v>42441.333264000001</v>
      </c>
      <c r="Y7" s="20">
        <v>8.7152670000000008</v>
      </c>
      <c r="Z7" s="20">
        <v>4.2151899999999998</v>
      </c>
      <c r="AA7" s="20">
        <v>52.646534000000003</v>
      </c>
    </row>
    <row r="8" spans="1:27" x14ac:dyDescent="0.25">
      <c r="A8" s="3" t="s">
        <v>9</v>
      </c>
      <c r="B8" s="4">
        <v>0.94808499999999996</v>
      </c>
      <c r="C8" s="4">
        <v>9.8766829999999999</v>
      </c>
      <c r="D8" s="4">
        <v>21.607849999999999</v>
      </c>
      <c r="E8" s="4">
        <v>52</v>
      </c>
      <c r="F8" s="4">
        <v>4.7769149999999998</v>
      </c>
      <c r="G8" s="4">
        <f t="shared" si="0"/>
        <v>51.607849999999999</v>
      </c>
      <c r="H8" s="3"/>
      <c r="I8" s="3" t="s">
        <v>20</v>
      </c>
      <c r="J8" s="5">
        <f t="shared" si="1"/>
        <v>31065.901194999999</v>
      </c>
      <c r="K8" s="6">
        <v>9.8766829999999999</v>
      </c>
      <c r="L8" s="6">
        <v>4.7769149999999998</v>
      </c>
      <c r="M8" s="4">
        <v>51.607849999999999</v>
      </c>
      <c r="P8" s="12" t="s">
        <v>36</v>
      </c>
      <c r="Q8" s="11">
        <f t="shared" si="2"/>
        <v>31065.901194999999</v>
      </c>
      <c r="R8" s="20">
        <v>9.8766829999999999</v>
      </c>
      <c r="S8" s="20">
        <v>4.7769149999999998</v>
      </c>
      <c r="T8" s="20">
        <v>51.607849999999999</v>
      </c>
      <c r="W8" s="12" t="s">
        <v>36</v>
      </c>
      <c r="X8" s="11">
        <v>43653.625739999996</v>
      </c>
      <c r="Y8" s="20">
        <v>9.8766829999999999</v>
      </c>
      <c r="Z8" s="20">
        <v>4.7769149999999998</v>
      </c>
      <c r="AA8" s="20">
        <v>51.607849999999999</v>
      </c>
    </row>
    <row r="9" spans="1:27" x14ac:dyDescent="0.25">
      <c r="A9" s="3" t="s">
        <v>10</v>
      </c>
      <c r="B9" s="4">
        <v>1.1563730000000001</v>
      </c>
      <c r="C9" s="4">
        <v>11.655272999999999</v>
      </c>
      <c r="D9" s="4">
        <v>20.418517000000001</v>
      </c>
      <c r="E9" s="4">
        <v>50</v>
      </c>
      <c r="F9" s="4">
        <v>5.6371399999999996</v>
      </c>
      <c r="G9" s="4">
        <f t="shared" si="0"/>
        <v>50.418517000000001</v>
      </c>
      <c r="H9" s="3"/>
      <c r="I9" s="3" t="s">
        <v>21</v>
      </c>
      <c r="J9" s="5">
        <f t="shared" si="1"/>
        <v>37890.874091000005</v>
      </c>
      <c r="K9" s="6">
        <v>11.655272999999999</v>
      </c>
      <c r="L9" s="6">
        <v>5.6371399999999996</v>
      </c>
      <c r="M9" s="4">
        <v>50.418517000000001</v>
      </c>
      <c r="P9" s="12" t="s">
        <v>37</v>
      </c>
      <c r="Q9" s="11">
        <f t="shared" si="2"/>
        <v>37890.874091000005</v>
      </c>
      <c r="R9" s="20">
        <v>11.655272999999999</v>
      </c>
      <c r="S9" s="20">
        <v>5.6371399999999996</v>
      </c>
      <c r="T9" s="20">
        <v>50.418517000000001</v>
      </c>
      <c r="W9" s="12" t="s">
        <v>37</v>
      </c>
      <c r="X9" s="11">
        <v>53244.038412000002</v>
      </c>
      <c r="Y9" s="20">
        <v>11.655272999999999</v>
      </c>
      <c r="Z9" s="20">
        <v>5.6371399999999996</v>
      </c>
      <c r="AA9" s="20">
        <v>50.418517000000001</v>
      </c>
    </row>
    <row r="10" spans="1:27" x14ac:dyDescent="0.25">
      <c r="A10" s="3" t="s">
        <v>11</v>
      </c>
      <c r="B10" s="4">
        <v>0.81010199999999999</v>
      </c>
      <c r="C10" s="4">
        <v>9.9486910000000002</v>
      </c>
      <c r="D10" s="4">
        <v>21.911072999999998</v>
      </c>
      <c r="E10" s="4">
        <v>52</v>
      </c>
      <c r="F10" s="4">
        <v>4.8117419999999997</v>
      </c>
      <c r="G10" s="4">
        <f t="shared" si="0"/>
        <v>51.911073000000002</v>
      </c>
      <c r="H10" s="3"/>
      <c r="I10" s="3" t="s">
        <v>25</v>
      </c>
      <c r="J10" s="5">
        <f t="shared" si="1"/>
        <v>26544.612234</v>
      </c>
      <c r="K10" s="6">
        <v>9.9486910000000002</v>
      </c>
      <c r="L10" s="6">
        <v>4.8117419999999997</v>
      </c>
      <c r="M10" s="4">
        <v>51.911073000000002</v>
      </c>
      <c r="P10" s="12" t="s">
        <v>38</v>
      </c>
      <c r="Q10" s="11">
        <f t="shared" si="2"/>
        <v>26544.612234</v>
      </c>
      <c r="R10" s="20">
        <v>9.9486910000000002</v>
      </c>
      <c r="S10" s="20">
        <v>4.8117419999999997</v>
      </c>
      <c r="T10" s="20">
        <v>51.911073000000002</v>
      </c>
      <c r="W10" s="12" t="s">
        <v>38</v>
      </c>
      <c r="X10" s="11">
        <v>37300.336488000001</v>
      </c>
      <c r="Y10" s="20">
        <v>9.9486910000000002</v>
      </c>
      <c r="Z10" s="20">
        <v>4.8117419999999997</v>
      </c>
      <c r="AA10" s="20">
        <v>51.911073000000002</v>
      </c>
    </row>
    <row r="11" spans="1:27" x14ac:dyDescent="0.25">
      <c r="A11" s="3" t="s">
        <v>12</v>
      </c>
      <c r="B11" s="4">
        <v>0.89738600000000002</v>
      </c>
      <c r="C11" s="4">
        <v>11.50141</v>
      </c>
      <c r="D11" s="4">
        <v>20.035005000000002</v>
      </c>
      <c r="E11" s="4">
        <v>50</v>
      </c>
      <c r="F11" s="4">
        <v>5.5627240000000002</v>
      </c>
      <c r="G11" s="4">
        <f t="shared" si="0"/>
        <v>50.035004999999998</v>
      </c>
      <c r="H11" s="3"/>
      <c r="I11" s="3" t="s">
        <v>26</v>
      </c>
      <c r="J11" s="5">
        <f t="shared" si="1"/>
        <v>29404.647062</v>
      </c>
      <c r="K11" s="6">
        <v>11.50141</v>
      </c>
      <c r="L11" s="6">
        <v>5.5627240000000002</v>
      </c>
      <c r="M11" s="4">
        <v>50.035004999999998</v>
      </c>
      <c r="P11" s="12" t="s">
        <v>39</v>
      </c>
      <c r="Q11" s="11">
        <f t="shared" si="2"/>
        <v>29404.647062</v>
      </c>
      <c r="R11" s="20">
        <v>11.50141</v>
      </c>
      <c r="S11" s="20">
        <v>5.5627240000000002</v>
      </c>
      <c r="T11" s="20">
        <v>50.035004999999998</v>
      </c>
      <c r="W11" s="12" t="s">
        <v>39</v>
      </c>
      <c r="X11" s="11">
        <v>41319.240984000004</v>
      </c>
      <c r="Y11" s="20">
        <v>11.50141</v>
      </c>
      <c r="Z11" s="20">
        <v>5.5627240000000002</v>
      </c>
      <c r="AA11" s="20">
        <v>50.035004999999998</v>
      </c>
    </row>
    <row r="12" spans="1:27" x14ac:dyDescent="0.25">
      <c r="A12" s="3" t="s">
        <v>13</v>
      </c>
      <c r="B12" s="4">
        <v>1.0638559999999999</v>
      </c>
      <c r="C12" s="4">
        <v>9.7740170000000006</v>
      </c>
      <c r="D12" s="4">
        <v>20.718409000000001</v>
      </c>
      <c r="E12" s="4">
        <v>51</v>
      </c>
      <c r="F12" s="4">
        <v>4.7272600000000002</v>
      </c>
      <c r="G12" s="4">
        <f t="shared" si="0"/>
        <v>50.718409000000001</v>
      </c>
      <c r="H12" s="3"/>
      <c r="I12" s="3" t="s">
        <v>27</v>
      </c>
      <c r="J12" s="5">
        <f t="shared" si="1"/>
        <v>34859.369551999996</v>
      </c>
      <c r="K12" s="6">
        <v>9.7740170000000006</v>
      </c>
      <c r="L12" s="6">
        <v>4.7272600000000002</v>
      </c>
      <c r="M12" s="4">
        <v>50.718409000000001</v>
      </c>
      <c r="P12" s="12" t="s">
        <v>40</v>
      </c>
      <c r="Q12" s="11">
        <f t="shared" si="2"/>
        <v>34859.369551999996</v>
      </c>
      <c r="R12" s="20">
        <v>9.7740170000000006</v>
      </c>
      <c r="S12" s="20">
        <v>4.7272600000000002</v>
      </c>
      <c r="T12" s="20">
        <v>50.718409000000001</v>
      </c>
      <c r="W12" s="12" t="s">
        <v>40</v>
      </c>
      <c r="X12" s="11">
        <v>48984.185663999997</v>
      </c>
      <c r="Y12" s="20">
        <v>9.7740170000000006</v>
      </c>
      <c r="Z12" s="20">
        <v>4.7272600000000002</v>
      </c>
      <c r="AA12" s="20">
        <v>50.718409000000001</v>
      </c>
    </row>
    <row r="13" spans="1:27" ht="15.75" thickBot="1" x14ac:dyDescent="0.3">
      <c r="A13" s="3" t="s">
        <v>14</v>
      </c>
      <c r="B13" s="4">
        <v>0.969167</v>
      </c>
      <c r="C13" s="4">
        <v>8.7023620000000008</v>
      </c>
      <c r="D13" s="4">
        <v>21.717542999999999</v>
      </c>
      <c r="E13" s="4">
        <v>52</v>
      </c>
      <c r="F13" s="4">
        <v>4.2089480000000004</v>
      </c>
      <c r="G13" s="4">
        <f t="shared" si="0"/>
        <v>51.717542999999999</v>
      </c>
      <c r="H13" s="3"/>
      <c r="I13" s="3" t="s">
        <v>28</v>
      </c>
      <c r="J13" s="5">
        <f t="shared" si="1"/>
        <v>31756.695089000001</v>
      </c>
      <c r="K13" s="6">
        <v>8.7023620000000008</v>
      </c>
      <c r="L13" s="6">
        <v>4.2089480000000004</v>
      </c>
      <c r="M13" s="4">
        <v>51.717542999999999</v>
      </c>
      <c r="P13" s="15" t="s">
        <v>41</v>
      </c>
      <c r="Q13" s="16">
        <f t="shared" si="2"/>
        <v>31756.695089000001</v>
      </c>
      <c r="R13" s="21">
        <v>8.7023620000000008</v>
      </c>
      <c r="S13" s="21">
        <v>4.2089480000000004</v>
      </c>
      <c r="T13" s="21">
        <v>51.717542999999999</v>
      </c>
      <c r="W13" s="12" t="s">
        <v>41</v>
      </c>
      <c r="X13" s="11">
        <v>44624.325347999998</v>
      </c>
      <c r="Y13" s="20">
        <v>8.7023620000000008</v>
      </c>
      <c r="Z13" s="20">
        <v>4.2089480000000004</v>
      </c>
      <c r="AA13" s="20">
        <v>51.717542999999999</v>
      </c>
    </row>
    <row r="14" spans="1:27" x14ac:dyDescent="0.25">
      <c r="I14" s="3" t="s">
        <v>30</v>
      </c>
      <c r="J14" s="8">
        <f>AVERAGE(Table1[Max Rate (Cases)])</f>
        <v>31417.435401100003</v>
      </c>
      <c r="K14" s="9">
        <f>AVERAGE(Table1[Half-Width (Weeks)])</f>
        <v>10.198203000000001</v>
      </c>
      <c r="L14" s="9">
        <f>AVERAGE(Table1[Half-Width Adj (Weeks)])</f>
        <v>4.9324200999999999</v>
      </c>
      <c r="M14" s="9">
        <f>AVERAGE(Table1[Max Week])</f>
        <v>51.307538600000001</v>
      </c>
      <c r="P14" s="17" t="s">
        <v>30</v>
      </c>
      <c r="Q14" s="25">
        <f>AVERAGE(Q4:Q13)</f>
        <v>31417.435401100003</v>
      </c>
      <c r="R14" s="26">
        <f t="shared" ref="R14:T14" si="3">AVERAGE(R4:R13)</f>
        <v>10.198203000000001</v>
      </c>
      <c r="S14" s="26">
        <f t="shared" si="3"/>
        <v>4.9324200999999999</v>
      </c>
      <c r="T14" s="27">
        <f t="shared" si="3"/>
        <v>51.307538600000001</v>
      </c>
      <c r="W14" s="17"/>
      <c r="X14" s="25"/>
      <c r="Y14" s="26"/>
      <c r="Z14" s="26"/>
      <c r="AA14" s="27"/>
    </row>
    <row r="15" spans="1:27" x14ac:dyDescent="0.25">
      <c r="I15" t="s">
        <v>31</v>
      </c>
      <c r="J15" s="10">
        <f>STDEV(Table1[Max Rate (Cases)])</f>
        <v>3396.3690504914489</v>
      </c>
      <c r="K15" s="1">
        <f>STDEV(Table1[Half-Width (Weeks)])</f>
        <v>1.1177553550416162</v>
      </c>
      <c r="L15" s="1">
        <f>STDEV(Table1[Half-Width Adj (Weeks)])</f>
        <v>0.54060872713028429</v>
      </c>
      <c r="M15" s="1">
        <f>STDEV(Table1[Max Week])</f>
        <v>0.81178335067446938</v>
      </c>
      <c r="P15" s="17" t="s">
        <v>31</v>
      </c>
      <c r="Q15" s="18">
        <f>STDEV(Q4:Q13)</f>
        <v>3396.3690504914489</v>
      </c>
      <c r="R15" s="23">
        <f t="shared" ref="R15:T15" si="4">STDEV(R4:R13)</f>
        <v>1.1177553550416162</v>
      </c>
      <c r="S15" s="23">
        <f t="shared" si="4"/>
        <v>0.54060872713028429</v>
      </c>
      <c r="T15" s="22">
        <f t="shared" si="4"/>
        <v>0.81178335067446938</v>
      </c>
      <c r="W15" s="17"/>
      <c r="X15" s="18"/>
      <c r="Y15" s="23"/>
      <c r="Z15" s="23"/>
      <c r="AA15" s="22"/>
    </row>
    <row r="16" spans="1:27" x14ac:dyDescent="0.25">
      <c r="P16" s="3"/>
      <c r="Q16" s="3"/>
      <c r="R16" s="3"/>
      <c r="S16" s="3"/>
      <c r="T16" s="3"/>
      <c r="W16" s="3"/>
      <c r="X16" s="3"/>
      <c r="Y16" s="3"/>
      <c r="Z16" s="3"/>
      <c r="AA16" s="3"/>
    </row>
    <row r="17" spans="1:27" ht="30" x14ac:dyDescent="0.25">
      <c r="A17" t="s">
        <v>0</v>
      </c>
      <c r="B17" t="s">
        <v>1</v>
      </c>
      <c r="C17" t="s">
        <v>2</v>
      </c>
      <c r="D17" t="s">
        <v>3</v>
      </c>
      <c r="E17" t="s">
        <v>4</v>
      </c>
      <c r="I17" s="7" t="s">
        <v>15</v>
      </c>
      <c r="J17" s="7" t="s">
        <v>18</v>
      </c>
      <c r="K17" s="7" t="s">
        <v>17</v>
      </c>
      <c r="L17" s="7" t="s">
        <v>19</v>
      </c>
      <c r="M17" s="7" t="s">
        <v>16</v>
      </c>
      <c r="P17" s="24" t="s">
        <v>15</v>
      </c>
      <c r="Q17" s="24" t="s">
        <v>18</v>
      </c>
      <c r="R17" s="24" t="s">
        <v>17</v>
      </c>
      <c r="S17" s="24" t="s">
        <v>19</v>
      </c>
      <c r="T17" s="24" t="s">
        <v>16</v>
      </c>
      <c r="W17" s="24"/>
      <c r="X17" s="24"/>
      <c r="Y17" s="24"/>
      <c r="Z17" s="24"/>
      <c r="AA17" s="24"/>
    </row>
    <row r="18" spans="1:27" x14ac:dyDescent="0.25">
      <c r="A18" t="s">
        <v>5</v>
      </c>
      <c r="B18">
        <v>0.98268800000000001</v>
      </c>
      <c r="C18">
        <v>4.9343019999999997</v>
      </c>
      <c r="D18">
        <v>22.329311000000001</v>
      </c>
      <c r="E18">
        <v>52</v>
      </c>
      <c r="F18">
        <v>3.924741</v>
      </c>
      <c r="I18" s="3" t="s">
        <v>29</v>
      </c>
      <c r="J18" s="5">
        <f>B18*$B$1</f>
        <v>32199.737696</v>
      </c>
      <c r="K18" s="1">
        <v>4.9343019999999997</v>
      </c>
      <c r="L18" s="1">
        <v>3.924741</v>
      </c>
      <c r="M18" s="4">
        <f>D18+30</f>
        <v>52.329311000000004</v>
      </c>
      <c r="P18" s="13" t="s">
        <v>32</v>
      </c>
      <c r="Q18" s="14">
        <f>B18*$B$1</f>
        <v>32199.737696</v>
      </c>
      <c r="R18" s="19">
        <v>4.9343019999999997</v>
      </c>
      <c r="S18" s="19">
        <v>3.924741</v>
      </c>
      <c r="T18" s="19">
        <v>52.329311000000004</v>
      </c>
      <c r="W18" s="13"/>
      <c r="X18" s="14"/>
      <c r="Y18" s="19"/>
      <c r="Z18" s="19"/>
      <c r="AA18" s="19"/>
    </row>
    <row r="19" spans="1:27" x14ac:dyDescent="0.25">
      <c r="A19" t="s">
        <v>6</v>
      </c>
      <c r="B19">
        <v>1.3749629999999999</v>
      </c>
      <c r="C19">
        <v>7.0817410000000001</v>
      </c>
      <c r="D19">
        <v>22.030391999999999</v>
      </c>
      <c r="E19">
        <v>52</v>
      </c>
      <c r="F19">
        <v>5.6328120000000004</v>
      </c>
      <c r="I19" s="3" t="s">
        <v>23</v>
      </c>
      <c r="J19" s="5">
        <f t="shared" ref="J19:J27" si="5">B19*$B$1</f>
        <v>45053.412620999996</v>
      </c>
      <c r="K19" s="1">
        <v>7.0817410000000001</v>
      </c>
      <c r="L19" s="1">
        <v>5.6328120000000004</v>
      </c>
      <c r="M19" s="4">
        <f t="shared" ref="M19:M27" si="6">D19+30</f>
        <v>52.030391999999999</v>
      </c>
      <c r="P19" s="12" t="s">
        <v>33</v>
      </c>
      <c r="Q19" s="11">
        <f t="shared" ref="Q19:Q27" si="7">B19*$B$1</f>
        <v>45053.412620999996</v>
      </c>
      <c r="R19" s="20">
        <v>7.0817410000000001</v>
      </c>
      <c r="S19" s="20">
        <v>5.6328120000000004</v>
      </c>
      <c r="T19" s="20">
        <v>52.030391999999999</v>
      </c>
      <c r="W19" s="12"/>
      <c r="X19" s="11"/>
      <c r="Y19" s="20"/>
      <c r="Z19" s="20"/>
      <c r="AA19" s="20"/>
    </row>
    <row r="20" spans="1:27" x14ac:dyDescent="0.25">
      <c r="A20" t="s">
        <v>7</v>
      </c>
      <c r="B20">
        <v>1.432804</v>
      </c>
      <c r="C20">
        <v>5.1457280000000001</v>
      </c>
      <c r="D20">
        <v>20.619607999999999</v>
      </c>
      <c r="E20">
        <v>51</v>
      </c>
      <c r="F20">
        <v>4.0929089999999997</v>
      </c>
      <c r="I20" s="3" t="s">
        <v>22</v>
      </c>
      <c r="J20" s="5">
        <f t="shared" si="5"/>
        <v>46948.688668000003</v>
      </c>
      <c r="K20" s="1">
        <v>5.1457280000000001</v>
      </c>
      <c r="L20" s="1">
        <v>4.0929089999999997</v>
      </c>
      <c r="M20" s="4">
        <f t="shared" si="6"/>
        <v>50.619607999999999</v>
      </c>
      <c r="P20" s="12" t="s">
        <v>34</v>
      </c>
      <c r="Q20" s="11">
        <f t="shared" si="7"/>
        <v>46948.688668000003</v>
      </c>
      <c r="R20" s="20">
        <v>5.1457280000000001</v>
      </c>
      <c r="S20" s="20">
        <v>4.0929089999999997</v>
      </c>
      <c r="T20" s="20">
        <v>50.619607999999999</v>
      </c>
      <c r="W20" s="12"/>
      <c r="X20" s="11"/>
      <c r="Y20" s="20"/>
      <c r="Z20" s="20"/>
      <c r="AA20" s="20"/>
    </row>
    <row r="21" spans="1:27" x14ac:dyDescent="0.25">
      <c r="A21" t="s">
        <v>8</v>
      </c>
      <c r="B21">
        <v>1.501749</v>
      </c>
      <c r="C21">
        <v>7.2621359999999999</v>
      </c>
      <c r="D21">
        <v>22.438113999999999</v>
      </c>
      <c r="E21">
        <v>52</v>
      </c>
      <c r="F21">
        <v>5.7762979999999997</v>
      </c>
      <c r="I21" s="3" t="s">
        <v>24</v>
      </c>
      <c r="J21" s="5">
        <f t="shared" si="5"/>
        <v>49207.809482999997</v>
      </c>
      <c r="K21" s="1">
        <v>7.2621359999999999</v>
      </c>
      <c r="L21" s="1">
        <v>5.7762979999999997</v>
      </c>
      <c r="M21" s="4">
        <f t="shared" si="6"/>
        <v>52.438113999999999</v>
      </c>
      <c r="P21" s="12" t="s">
        <v>35</v>
      </c>
      <c r="Q21" s="11">
        <f t="shared" si="7"/>
        <v>49207.809482999997</v>
      </c>
      <c r="R21" s="20">
        <v>7.2621359999999999</v>
      </c>
      <c r="S21" s="20">
        <v>5.7762979999999997</v>
      </c>
      <c r="T21" s="20">
        <v>52.438113999999999</v>
      </c>
      <c r="W21" s="12"/>
      <c r="X21" s="11"/>
      <c r="Y21" s="20"/>
      <c r="Z21" s="20"/>
      <c r="AA21" s="20"/>
    </row>
    <row r="22" spans="1:27" x14ac:dyDescent="0.25">
      <c r="A22" t="s">
        <v>9</v>
      </c>
      <c r="B22">
        <v>1.18869</v>
      </c>
      <c r="C22">
        <v>6.9867920000000003</v>
      </c>
      <c r="D22">
        <v>22.524986999999999</v>
      </c>
      <c r="E22">
        <v>53</v>
      </c>
      <c r="F22">
        <v>5.5572900000000001</v>
      </c>
      <c r="I22" s="3" t="s">
        <v>20</v>
      </c>
      <c r="J22" s="5">
        <f t="shared" si="5"/>
        <v>38949.805229999998</v>
      </c>
      <c r="K22" s="1">
        <v>6.9867920000000003</v>
      </c>
      <c r="L22" s="1">
        <v>5.5572900000000001</v>
      </c>
      <c r="M22" s="4">
        <f t="shared" si="6"/>
        <v>52.524986999999996</v>
      </c>
      <c r="P22" s="12" t="s">
        <v>36</v>
      </c>
      <c r="Q22" s="11">
        <f t="shared" si="7"/>
        <v>38949.805229999998</v>
      </c>
      <c r="R22" s="20">
        <v>6.9867920000000003</v>
      </c>
      <c r="S22" s="20">
        <v>5.5572900000000001</v>
      </c>
      <c r="T22" s="20">
        <v>52.524986999999996</v>
      </c>
      <c r="W22" s="12"/>
      <c r="X22" s="11"/>
      <c r="Y22" s="20"/>
      <c r="Z22" s="20"/>
      <c r="AA22" s="20"/>
    </row>
    <row r="23" spans="1:27" x14ac:dyDescent="0.25">
      <c r="A23" t="s">
        <v>10</v>
      </c>
      <c r="B23">
        <v>1.8431930000000001</v>
      </c>
      <c r="C23">
        <v>6.0841279999999998</v>
      </c>
      <c r="D23">
        <v>20.507648</v>
      </c>
      <c r="E23">
        <v>51</v>
      </c>
      <c r="F23">
        <v>4.8393110000000004</v>
      </c>
      <c r="I23" s="3" t="s">
        <v>21</v>
      </c>
      <c r="J23" s="5">
        <f t="shared" si="5"/>
        <v>60395.905031000002</v>
      </c>
      <c r="K23" s="1">
        <v>6.0841279999999998</v>
      </c>
      <c r="L23" s="1">
        <v>4.8393110000000004</v>
      </c>
      <c r="M23" s="4">
        <f t="shared" si="6"/>
        <v>50.507648000000003</v>
      </c>
      <c r="P23" s="12" t="s">
        <v>37</v>
      </c>
      <c r="Q23" s="11">
        <f t="shared" si="7"/>
        <v>60395.905031000002</v>
      </c>
      <c r="R23" s="20">
        <v>6.0841279999999998</v>
      </c>
      <c r="S23" s="20">
        <v>4.8393110000000004</v>
      </c>
      <c r="T23" s="20">
        <v>50.507648000000003</v>
      </c>
      <c r="W23" s="12"/>
      <c r="X23" s="11"/>
      <c r="Y23" s="20"/>
      <c r="Z23" s="20"/>
      <c r="AA23" s="20"/>
    </row>
    <row r="24" spans="1:27" x14ac:dyDescent="0.25">
      <c r="A24" t="s">
        <v>11</v>
      </c>
      <c r="B24">
        <v>1.42167</v>
      </c>
      <c r="C24">
        <v>7.9179510000000004</v>
      </c>
      <c r="D24">
        <v>21.984838</v>
      </c>
      <c r="E24">
        <v>52</v>
      </c>
      <c r="F24">
        <v>6.2979329999999996</v>
      </c>
      <c r="I24" s="3" t="s">
        <v>25</v>
      </c>
      <c r="J24" s="5">
        <f t="shared" si="5"/>
        <v>46583.860889999996</v>
      </c>
      <c r="K24" s="1">
        <v>7.9179510000000004</v>
      </c>
      <c r="L24" s="1">
        <v>6.2979329999999996</v>
      </c>
      <c r="M24" s="4">
        <f t="shared" si="6"/>
        <v>51.984837999999996</v>
      </c>
      <c r="P24" s="12" t="s">
        <v>38</v>
      </c>
      <c r="Q24" s="11">
        <f t="shared" si="7"/>
        <v>46583.860889999996</v>
      </c>
      <c r="R24" s="20">
        <v>7.9179510000000004</v>
      </c>
      <c r="S24" s="20">
        <v>6.2979329999999996</v>
      </c>
      <c r="T24" s="20">
        <v>51.984837999999996</v>
      </c>
      <c r="W24" s="12"/>
      <c r="X24" s="11"/>
      <c r="Y24" s="20"/>
      <c r="Z24" s="20"/>
      <c r="AA24" s="20"/>
    </row>
    <row r="25" spans="1:27" x14ac:dyDescent="0.25">
      <c r="A25" t="s">
        <v>12</v>
      </c>
      <c r="B25">
        <v>1.5588169999999999</v>
      </c>
      <c r="C25">
        <v>5.481414</v>
      </c>
      <c r="D25">
        <v>21.186744999999998</v>
      </c>
      <c r="E25">
        <v>51</v>
      </c>
      <c r="F25">
        <v>4.3599129999999997</v>
      </c>
      <c r="I25" s="3" t="s">
        <v>26</v>
      </c>
      <c r="J25" s="5">
        <f t="shared" si="5"/>
        <v>51077.756638999999</v>
      </c>
      <c r="K25" s="1">
        <v>5.481414</v>
      </c>
      <c r="L25" s="1">
        <v>4.3599129999999997</v>
      </c>
      <c r="M25" s="4">
        <f t="shared" si="6"/>
        <v>51.186745000000002</v>
      </c>
      <c r="P25" s="12" t="s">
        <v>39</v>
      </c>
      <c r="Q25" s="11">
        <f t="shared" si="7"/>
        <v>51077.756638999999</v>
      </c>
      <c r="R25" s="20">
        <v>5.481414</v>
      </c>
      <c r="S25" s="20">
        <v>4.3599129999999997</v>
      </c>
      <c r="T25" s="20">
        <v>51.186745000000002</v>
      </c>
      <c r="W25" s="12"/>
      <c r="X25" s="11"/>
      <c r="Y25" s="20"/>
      <c r="Z25" s="20"/>
      <c r="AA25" s="20"/>
    </row>
    <row r="26" spans="1:27" x14ac:dyDescent="0.25">
      <c r="A26" t="s">
        <v>13</v>
      </c>
      <c r="B26">
        <v>1.466302</v>
      </c>
      <c r="C26">
        <v>6.7356749999999996</v>
      </c>
      <c r="D26">
        <v>21.122333999999999</v>
      </c>
      <c r="E26">
        <v>51</v>
      </c>
      <c r="F26">
        <v>5.3575520000000001</v>
      </c>
      <c r="I26" s="3" t="s">
        <v>27</v>
      </c>
      <c r="J26" s="5">
        <f t="shared" si="5"/>
        <v>48046.317633999999</v>
      </c>
      <c r="K26" s="1">
        <v>6.7356749999999996</v>
      </c>
      <c r="L26" s="1">
        <v>5.3575520000000001</v>
      </c>
      <c r="M26" s="4">
        <f t="shared" si="6"/>
        <v>51.122333999999995</v>
      </c>
      <c r="P26" s="12" t="s">
        <v>40</v>
      </c>
      <c r="Q26" s="11">
        <f t="shared" si="7"/>
        <v>48046.317633999999</v>
      </c>
      <c r="R26" s="20">
        <v>6.7356749999999996</v>
      </c>
      <c r="S26" s="20">
        <v>5.3575520000000001</v>
      </c>
      <c r="T26" s="20">
        <v>51.122333999999995</v>
      </c>
      <c r="W26" s="12"/>
      <c r="X26" s="11"/>
      <c r="Y26" s="20"/>
      <c r="Z26" s="20"/>
      <c r="AA26" s="20"/>
    </row>
    <row r="27" spans="1:27" ht="15.75" thickBot="1" x14ac:dyDescent="0.3">
      <c r="A27" t="s">
        <v>14</v>
      </c>
      <c r="B27">
        <v>1.5037259999999999</v>
      </c>
      <c r="C27">
        <v>7.0461600000000004</v>
      </c>
      <c r="D27">
        <v>21.900856000000001</v>
      </c>
      <c r="E27">
        <v>52</v>
      </c>
      <c r="F27">
        <v>5.6045119999999997</v>
      </c>
      <c r="I27" s="3" t="s">
        <v>28</v>
      </c>
      <c r="J27" s="5">
        <f t="shared" si="5"/>
        <v>49272.589841999994</v>
      </c>
      <c r="K27" s="1">
        <v>7.0461600000000004</v>
      </c>
      <c r="L27" s="1">
        <v>5.6045119999999997</v>
      </c>
      <c r="M27" s="4">
        <f t="shared" si="6"/>
        <v>51.900856000000005</v>
      </c>
      <c r="P27" s="15" t="s">
        <v>41</v>
      </c>
      <c r="Q27" s="16">
        <f t="shared" si="7"/>
        <v>49272.589841999994</v>
      </c>
      <c r="R27" s="21">
        <v>7.0461600000000004</v>
      </c>
      <c r="S27" s="21">
        <v>5.6045119999999997</v>
      </c>
      <c r="T27" s="21">
        <v>51.900856000000005</v>
      </c>
      <c r="W27" s="15"/>
      <c r="X27" s="16"/>
      <c r="Y27" s="21"/>
      <c r="Z27" s="21"/>
      <c r="AA27" s="21"/>
    </row>
    <row r="28" spans="1:27" x14ac:dyDescent="0.25">
      <c r="I28" s="3" t="s">
        <v>30</v>
      </c>
      <c r="J28" s="8">
        <f>AVERAGE(Table14[Max Rate (Cases)])</f>
        <v>46773.588373399994</v>
      </c>
      <c r="K28" s="9">
        <f>AVERAGE(Table14[Half-Width (Weeks)])</f>
        <v>6.4676027000000005</v>
      </c>
      <c r="L28" s="9">
        <f>AVERAGE(Table14[Half-Width Adj (Weeks)])</f>
        <v>5.1443270999999999</v>
      </c>
      <c r="M28" s="9">
        <f>AVERAGE(Table14[Max Week])</f>
        <v>51.664483299999993</v>
      </c>
      <c r="P28" s="17" t="s">
        <v>30</v>
      </c>
      <c r="Q28" s="25">
        <f>AVERAGE(Q18:Q27)</f>
        <v>46773.588373399994</v>
      </c>
      <c r="R28" s="26">
        <f t="shared" ref="R28" si="8">AVERAGE(R18:R27)</f>
        <v>6.4676027000000005</v>
      </c>
      <c r="S28" s="26">
        <f t="shared" ref="S28" si="9">AVERAGE(S18:S27)</f>
        <v>5.1443270999999999</v>
      </c>
      <c r="T28" s="27">
        <f t="shared" ref="T28" si="10">AVERAGE(T18:T27)</f>
        <v>51.664483299999993</v>
      </c>
      <c r="W28" s="17"/>
      <c r="X28" s="25"/>
      <c r="Y28" s="26"/>
      <c r="Z28" s="26"/>
      <c r="AA28" s="27"/>
    </row>
    <row r="29" spans="1:27" x14ac:dyDescent="0.25">
      <c r="I29" t="s">
        <v>31</v>
      </c>
      <c r="J29" s="10">
        <f>STDEV(Table14[Max Rate (Cases)])</f>
        <v>7412.5870696941683</v>
      </c>
      <c r="K29" s="1">
        <f>STDEV(Table14[Half-Width (Weeks)])</f>
        <v>1.0003384316743371</v>
      </c>
      <c r="L29" s="1">
        <f>STDEV(Table14[Half-Width Adj (Weeks)])</f>
        <v>0.7956684976443722</v>
      </c>
      <c r="M29" s="1">
        <f>STDEV(Table14[Max Week])</f>
        <v>0.7472577543473421</v>
      </c>
      <c r="P29" s="17" t="s">
        <v>31</v>
      </c>
      <c r="Q29" s="18">
        <f>STDEV(Q18:Q27)</f>
        <v>7412.5870696941683</v>
      </c>
      <c r="R29" s="23">
        <f t="shared" ref="R29:T29" si="11">STDEV(R18:R27)</f>
        <v>1.0003384316743371</v>
      </c>
      <c r="S29" s="23">
        <f t="shared" si="11"/>
        <v>0.7956684976443722</v>
      </c>
      <c r="T29" s="22">
        <f t="shared" si="11"/>
        <v>0.7472577543473421</v>
      </c>
      <c r="W29" s="17"/>
      <c r="X29" s="18"/>
      <c r="Y29" s="23"/>
      <c r="Z29" s="23"/>
      <c r="AA29" s="22"/>
    </row>
    <row r="31" spans="1:27" x14ac:dyDescent="0.25">
      <c r="B31" t="s">
        <v>45</v>
      </c>
      <c r="C31" t="s">
        <v>46</v>
      </c>
      <c r="D31" t="s">
        <v>47</v>
      </c>
      <c r="E31" t="s">
        <v>48</v>
      </c>
      <c r="F31" t="s">
        <v>49</v>
      </c>
      <c r="G31" t="s">
        <v>50</v>
      </c>
      <c r="H31" t="s">
        <v>51</v>
      </c>
    </row>
    <row r="32" spans="1:27" x14ac:dyDescent="0.25">
      <c r="A32" t="s">
        <v>42</v>
      </c>
      <c r="B32" s="28">
        <v>0.83205119999999999</v>
      </c>
      <c r="C32">
        <v>5.6545860000000001</v>
      </c>
      <c r="D32">
        <v>13.658386999999999</v>
      </c>
      <c r="E32" s="28">
        <v>-2.3639699999999999E-17</v>
      </c>
      <c r="F32">
        <v>19.669132000000001</v>
      </c>
      <c r="G32">
        <v>25.252524999999999</v>
      </c>
      <c r="H32">
        <v>3.6482000000000001E-2</v>
      </c>
    </row>
    <row r="33" spans="1:20" x14ac:dyDescent="0.25">
      <c r="A33" t="s">
        <v>43</v>
      </c>
      <c r="B33" s="28">
        <v>0.79006240000000005</v>
      </c>
      <c r="C33">
        <v>3.7615189999999998</v>
      </c>
      <c r="D33">
        <v>17.031714000000001</v>
      </c>
      <c r="E33" s="28">
        <v>0.31906299999999999</v>
      </c>
      <c r="F33">
        <v>10.349474000000001</v>
      </c>
      <c r="G33">
        <v>24.317537999999999</v>
      </c>
      <c r="H33">
        <v>1.9481999999999999E-2</v>
      </c>
    </row>
    <row r="34" spans="1:20" x14ac:dyDescent="0.25">
      <c r="J34" s="37" t="s">
        <v>44</v>
      </c>
      <c r="K34" s="37"/>
    </row>
    <row r="35" spans="1:20" x14ac:dyDescent="0.25">
      <c r="J35" s="35" t="s">
        <v>42</v>
      </c>
      <c r="K35" s="35" t="s">
        <v>43</v>
      </c>
    </row>
    <row r="36" spans="1:20" ht="18" x14ac:dyDescent="0.35">
      <c r="I36" s="30" t="s">
        <v>55</v>
      </c>
      <c r="J36" s="33">
        <f>B32*$B$1</f>
        <v>27263.821670400001</v>
      </c>
      <c r="K36" s="33">
        <f>B33*$B$1</f>
        <v>25887.974660800002</v>
      </c>
    </row>
    <row r="37" spans="1:20" ht="18" x14ac:dyDescent="0.35">
      <c r="I37" t="s">
        <v>54</v>
      </c>
      <c r="J37" s="32">
        <f>D32+35</f>
        <v>48.658386999999998</v>
      </c>
      <c r="K37" s="32">
        <f>D33+35</f>
        <v>52.031714000000001</v>
      </c>
      <c r="P37" s="30" t="s">
        <v>52</v>
      </c>
      <c r="Q37" s="30"/>
      <c r="R37" s="30"/>
      <c r="S37" s="30"/>
      <c r="T37" s="30"/>
    </row>
    <row r="38" spans="1:20" ht="18" x14ac:dyDescent="0.35">
      <c r="I38" s="34" t="s">
        <v>53</v>
      </c>
      <c r="J38" s="32">
        <v>5.6545860000000001</v>
      </c>
      <c r="K38" s="32">
        <v>3.7615189999999998</v>
      </c>
      <c r="P38" s="29" t="s">
        <v>32</v>
      </c>
      <c r="Q38" s="11">
        <v>47528.734823999999</v>
      </c>
      <c r="R38" s="20">
        <v>10.818647</v>
      </c>
      <c r="S38" s="20">
        <v>5.2325020000000002</v>
      </c>
      <c r="T38" s="20">
        <v>51.546239</v>
      </c>
    </row>
    <row r="39" spans="1:20" ht="18" x14ac:dyDescent="0.35">
      <c r="I39" t="s">
        <v>58</v>
      </c>
      <c r="J39" s="10">
        <f>-2.36397E-17*B1</f>
        <v>-7.7460204989999993E-13</v>
      </c>
      <c r="K39" s="10">
        <f>0.319063*B1</f>
        <v>10454.737320999999</v>
      </c>
      <c r="P39" s="29" t="s">
        <v>33</v>
      </c>
      <c r="Q39" s="11">
        <v>38775.033719999999</v>
      </c>
      <c r="R39" s="20">
        <v>11.514607</v>
      </c>
      <c r="S39" s="20">
        <v>5.5691059999999997</v>
      </c>
      <c r="T39" s="20">
        <v>51.825242000000003</v>
      </c>
    </row>
    <row r="40" spans="1:20" ht="18" x14ac:dyDescent="0.35">
      <c r="I40" t="s">
        <v>57</v>
      </c>
      <c r="J40" s="32">
        <f>G32+35 - 52</f>
        <v>8.2525249999999986</v>
      </c>
      <c r="K40" s="32">
        <f>G33+35-52</f>
        <v>7.317537999999999</v>
      </c>
      <c r="P40" s="29" t="s">
        <v>34</v>
      </c>
      <c r="Q40" s="11">
        <v>43605.141407999996</v>
      </c>
      <c r="R40" s="20">
        <v>9.4750730000000001</v>
      </c>
      <c r="S40" s="20">
        <v>4.5826739999999999</v>
      </c>
      <c r="T40" s="20">
        <v>50.648973999999995</v>
      </c>
    </row>
    <row r="41" spans="1:20" ht="18" x14ac:dyDescent="0.35">
      <c r="I41" s="34" t="s">
        <v>56</v>
      </c>
      <c r="J41" s="32">
        <v>19.669132000000001</v>
      </c>
      <c r="K41" s="32">
        <v>10.349474000000001</v>
      </c>
      <c r="P41" s="29" t="s">
        <v>35</v>
      </c>
      <c r="Q41" s="11">
        <v>42441.333264000001</v>
      </c>
      <c r="R41" s="20">
        <v>8.7152670000000008</v>
      </c>
      <c r="S41" s="20">
        <v>4.2151899999999998</v>
      </c>
      <c r="T41" s="20">
        <v>52.646534000000003</v>
      </c>
    </row>
    <row r="42" spans="1:20" ht="18" x14ac:dyDescent="0.35">
      <c r="I42" s="34" t="s">
        <v>59</v>
      </c>
      <c r="J42" s="31">
        <v>2.0699999999999998</v>
      </c>
      <c r="K42" s="31">
        <v>1.26</v>
      </c>
      <c r="P42" s="29" t="s">
        <v>36</v>
      </c>
      <c r="Q42" s="11">
        <v>43653.625739999996</v>
      </c>
      <c r="R42" s="20">
        <v>9.8766829999999999</v>
      </c>
      <c r="S42" s="20">
        <v>4.7769149999999998</v>
      </c>
      <c r="T42" s="20">
        <v>51.607849999999999</v>
      </c>
    </row>
    <row r="43" spans="1:20" x14ac:dyDescent="0.25">
      <c r="P43" s="29" t="s">
        <v>37</v>
      </c>
      <c r="Q43" s="11">
        <v>53244.038412000002</v>
      </c>
      <c r="R43" s="20">
        <v>11.655272999999999</v>
      </c>
      <c r="S43" s="20">
        <v>5.6371399999999996</v>
      </c>
      <c r="T43" s="20">
        <v>50.418517000000001</v>
      </c>
    </row>
    <row r="44" spans="1:20" x14ac:dyDescent="0.25">
      <c r="P44" s="29" t="s">
        <v>38</v>
      </c>
      <c r="Q44" s="11">
        <v>37300.336488000001</v>
      </c>
      <c r="R44" s="20">
        <v>9.9486910000000002</v>
      </c>
      <c r="S44" s="20">
        <v>4.8117419999999997</v>
      </c>
      <c r="T44" s="20">
        <v>51.911073000000002</v>
      </c>
    </row>
    <row r="45" spans="1:20" x14ac:dyDescent="0.25">
      <c r="P45" s="29" t="s">
        <v>39</v>
      </c>
      <c r="Q45" s="11">
        <v>41319.240984000004</v>
      </c>
      <c r="R45" s="20">
        <v>11.50141</v>
      </c>
      <c r="S45" s="20">
        <v>5.5627240000000002</v>
      </c>
      <c r="T45" s="20">
        <v>50.035004999999998</v>
      </c>
    </row>
    <row r="46" spans="1:20" x14ac:dyDescent="0.25">
      <c r="P46" s="29" t="s">
        <v>40</v>
      </c>
      <c r="Q46" s="11">
        <v>48984.185663999997</v>
      </c>
      <c r="R46" s="20">
        <v>9.7740170000000006</v>
      </c>
      <c r="S46" s="20">
        <v>4.7272600000000002</v>
      </c>
      <c r="T46" s="20">
        <v>50.718409000000001</v>
      </c>
    </row>
    <row r="47" spans="1:20" x14ac:dyDescent="0.25">
      <c r="P47" s="29" t="s">
        <v>41</v>
      </c>
      <c r="Q47" s="11">
        <v>44624.325347999998</v>
      </c>
      <c r="R47" s="20">
        <v>8.7023620000000008</v>
      </c>
      <c r="S47" s="20">
        <v>4.2089480000000004</v>
      </c>
      <c r="T47" s="20">
        <v>51.717542999999999</v>
      </c>
    </row>
  </sheetData>
  <mergeCells count="1">
    <mergeCell ref="J34:K3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88FD-815C-46D7-A15A-47C5B9C4A1EC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8E9D-8542-45E8-8788-6A7386959AD3}">
  <dimension ref="A2:C17"/>
  <sheetViews>
    <sheetView workbookViewId="0">
      <selection activeCell="C3" sqref="C3"/>
    </sheetView>
  </sheetViews>
  <sheetFormatPr defaultRowHeight="15" x14ac:dyDescent="0.25"/>
  <sheetData>
    <row r="2" spans="1:3" x14ac:dyDescent="0.25">
      <c r="B2">
        <f>AVERAGE(B3:B17)</f>
        <v>42.866666666666667</v>
      </c>
      <c r="C2">
        <f>STDEV(B3:B17)</f>
        <v>11.41969893690389</v>
      </c>
    </row>
    <row r="3" spans="1:3" x14ac:dyDescent="0.25">
      <c r="A3" s="36" t="s">
        <v>60</v>
      </c>
      <c r="B3">
        <v>56</v>
      </c>
    </row>
    <row r="4" spans="1:3" x14ac:dyDescent="0.25">
      <c r="A4" s="36" t="s">
        <v>61</v>
      </c>
      <c r="B4">
        <v>60</v>
      </c>
    </row>
    <row r="5" spans="1:3" x14ac:dyDescent="0.25">
      <c r="A5" s="36" t="s">
        <v>62</v>
      </c>
      <c r="B5">
        <v>47</v>
      </c>
    </row>
    <row r="6" spans="1:3" x14ac:dyDescent="0.25">
      <c r="A6" s="36" t="s">
        <v>63</v>
      </c>
      <c r="B6">
        <v>49</v>
      </c>
    </row>
    <row r="7" spans="1:3" x14ac:dyDescent="0.25">
      <c r="A7" s="36" t="s">
        <v>64</v>
      </c>
      <c r="B7">
        <v>52</v>
      </c>
    </row>
    <row r="8" spans="1:3" x14ac:dyDescent="0.25">
      <c r="A8" s="36" t="s">
        <v>65</v>
      </c>
      <c r="B8">
        <v>19</v>
      </c>
    </row>
    <row r="9" spans="1:3" x14ac:dyDescent="0.25">
      <c r="A9" s="36" t="s">
        <v>66</v>
      </c>
      <c r="B9">
        <v>48</v>
      </c>
    </row>
    <row r="10" spans="1:3" x14ac:dyDescent="0.25">
      <c r="A10" s="36" t="s">
        <v>67</v>
      </c>
      <c r="B10">
        <v>40</v>
      </c>
    </row>
    <row r="11" spans="1:3" x14ac:dyDescent="0.25">
      <c r="A11" s="36" t="s">
        <v>68</v>
      </c>
      <c r="B11">
        <v>38</v>
      </c>
    </row>
    <row r="12" spans="1:3" x14ac:dyDescent="0.25">
      <c r="A12" s="36" t="s">
        <v>69</v>
      </c>
      <c r="B12">
        <v>29</v>
      </c>
    </row>
    <row r="13" spans="1:3" x14ac:dyDescent="0.25">
      <c r="A13" s="36" t="s">
        <v>70</v>
      </c>
      <c r="B13">
        <v>39</v>
      </c>
    </row>
    <row r="14" spans="1:3" x14ac:dyDescent="0.25">
      <c r="A14" s="36" t="s">
        <v>71</v>
      </c>
      <c r="B14">
        <v>36</v>
      </c>
    </row>
    <row r="15" spans="1:3" x14ac:dyDescent="0.25">
      <c r="A15" s="36" t="s">
        <v>42</v>
      </c>
      <c r="B15">
        <v>30</v>
      </c>
    </row>
    <row r="16" spans="1:3" x14ac:dyDescent="0.25">
      <c r="A16" s="36" t="s">
        <v>43</v>
      </c>
      <c r="B16">
        <v>44</v>
      </c>
    </row>
    <row r="17" spans="1:2" x14ac:dyDescent="0.25">
      <c r="A17" s="36" t="s">
        <v>72</v>
      </c>
      <c r="B17">
        <v>56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Johnson</dc:creator>
  <cp:lastModifiedBy>Christopher Johnson</cp:lastModifiedBy>
  <dcterms:created xsi:type="dcterms:W3CDTF">2025-07-18T15:35:11Z</dcterms:created>
  <dcterms:modified xsi:type="dcterms:W3CDTF">2025-09-25T14:46:14Z</dcterms:modified>
</cp:coreProperties>
</file>